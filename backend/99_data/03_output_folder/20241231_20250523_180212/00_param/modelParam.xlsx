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814XM\Engagement\01_CNCBI\CNCBI_ECL_Engine\02_engine_server\99_data\parameter\20241231\"/>
    </mc:Choice>
  </mc:AlternateContent>
  <xr:revisionPtr revIDLastSave="0" documentId="13_ncr:1_{A74CF30D-96DE-4810-BEAB-E9C4A5A6DF3F}" xr6:coauthVersionLast="47" xr6:coauthVersionMax="47" xr10:uidLastSave="{00000000-0000-0000-0000-000000000000}"/>
  <bookViews>
    <workbookView xWindow="-110" yWindow="-110" windowWidth="19420" windowHeight="11500" tabRatio="885" xr2:uid="{00000000-000D-0000-FFFF-FFFF00000000}"/>
  </bookViews>
  <sheets>
    <sheet name="repayment_type" sheetId="27" r:id="rId1"/>
    <sheet name="PD_term_structure" sheetId="16" r:id="rId2"/>
    <sheet name="LGD_approach" sheetId="21" r:id="rId3"/>
    <sheet name="Prepayment_parameter" sheetId="20" r:id="rId4"/>
    <sheet name="LGD_term_structure" sheetId="17" r:id="rId5"/>
    <sheet name="EAD_parameter" sheetId="1" r:id="rId6"/>
    <sheet name="EAD_approach" sheetId="25" r:id="rId7"/>
    <sheet name="Lifetime_parameter" sheetId="10" r:id="rId8"/>
    <sheet name="MEFmodel" sheetId="5" r:id="rId9"/>
    <sheet name="Notch_mapping" sheetId="19" r:id="rId10"/>
    <sheet name="Proxy_mapping" sheetId="22" r:id="rId11"/>
    <sheet name="ProxyECL" sheetId="2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3" l="1"/>
  <c r="A9" i="23"/>
  <c r="A8" i="23"/>
  <c r="A7" i="23"/>
  <c r="A6" i="23"/>
  <c r="A5" i="23"/>
  <c r="A13" i="22"/>
  <c r="A12" i="22"/>
  <c r="A11" i="22"/>
  <c r="A10" i="22"/>
  <c r="A9" i="22"/>
  <c r="A8" i="22"/>
  <c r="A7" i="22"/>
  <c r="A6" i="22"/>
  <c r="A5" i="22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42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23" i="17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20" i="21"/>
  <c r="A19" i="21"/>
  <c r="A18" i="21"/>
  <c r="A17" i="21"/>
  <c r="A16" i="21"/>
  <c r="A15" i="21"/>
  <c r="A14" i="21"/>
  <c r="A13" i="21"/>
  <c r="E12" i="21"/>
  <c r="E13" i="21"/>
  <c r="E14" i="21"/>
  <c r="E15" i="21"/>
  <c r="E16" i="21"/>
  <c r="E17" i="21"/>
  <c r="A12" i="21"/>
  <c r="A11" i="21"/>
  <c r="A10" i="21"/>
  <c r="A9" i="21"/>
  <c r="A8" i="21"/>
  <c r="A7" i="21"/>
  <c r="A6" i="21"/>
  <c r="A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tc={7019A87F-CCAF-45DD-A421-757ADD1AD6B9}</author>
  </authors>
  <commentList>
    <comment ref="D8" authorId="0" shapeId="0" xr:uid="{7019A87F-CCAF-45DD-A421-757ADD1AD6B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testing purpose, assign a dummy repayment type.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tc={CDF64639-C3B3-4080-B913-B44D094BC7DA}</author>
  </authors>
  <commentList>
    <comment ref="D1" authorId="0" shapeId="0" xr:uid="{CDF64639-C3B3-4080-B913-B44D094BC7D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20241229 newly added for non-loan asset stage allocation criteria</t>
      </text>
    </comment>
  </commentList>
</comments>
</file>

<file path=xl/sharedStrings.xml><?xml version="1.0" encoding="utf-8"?>
<sst xmlns="http://schemas.openxmlformats.org/spreadsheetml/2006/main" count="888" uniqueCount="500">
  <si>
    <t>Parameter name</t>
  </si>
  <si>
    <t>PD_0</t>
  </si>
  <si>
    <t>PD_1</t>
  </si>
  <si>
    <t>PD_2</t>
  </si>
  <si>
    <t>PD_3</t>
  </si>
  <si>
    <t>PD_4</t>
  </si>
  <si>
    <t>PD_5</t>
  </si>
  <si>
    <t>PD_6</t>
  </si>
  <si>
    <t>PD_7</t>
  </si>
  <si>
    <t>PD_8</t>
  </si>
  <si>
    <t>PD_9</t>
  </si>
  <si>
    <t>PD_10</t>
  </si>
  <si>
    <t>PD_11</t>
  </si>
  <si>
    <t>PD_12</t>
  </si>
  <si>
    <t>PD_13</t>
  </si>
  <si>
    <t>PD_14</t>
  </si>
  <si>
    <t>PD_15</t>
  </si>
  <si>
    <t>PD_16</t>
  </si>
  <si>
    <t>PD_17</t>
  </si>
  <si>
    <t>PD_18</t>
  </si>
  <si>
    <t>PD_19</t>
  </si>
  <si>
    <t>PD_20</t>
  </si>
  <si>
    <t>PD_21</t>
  </si>
  <si>
    <t>PD_22</t>
  </si>
  <si>
    <t>PD_23</t>
  </si>
  <si>
    <t>PD_24</t>
  </si>
  <si>
    <t>PD_25</t>
  </si>
  <si>
    <t>PD_26</t>
  </si>
  <si>
    <t>PD_27</t>
  </si>
  <si>
    <t>PD_28</t>
  </si>
  <si>
    <t>PD_29</t>
  </si>
  <si>
    <t>PD_30</t>
  </si>
  <si>
    <t>Parameter description</t>
  </si>
  <si>
    <t>PD segment pool ID for PD parameter mapping purpose</t>
  </si>
  <si>
    <t>Description of the PD segment</t>
  </si>
  <si>
    <t>Year 0 Cumulative PD</t>
  </si>
  <si>
    <t>Year 1 Pre-forward looking cumulative PD</t>
  </si>
  <si>
    <t>Year 2 Pre-forward looking cumulative PD</t>
  </si>
  <si>
    <t>Year 3 Pre-forward looking cumulative PD</t>
  </si>
  <si>
    <t>Year 4 Pre-forward looking cumulative PD</t>
  </si>
  <si>
    <t>Year 5 Pre-forward looking cumulative PD</t>
  </si>
  <si>
    <t>Year 6 Pre-forward looking cumulative PD</t>
  </si>
  <si>
    <t>Year 7 Pre-forward looking cumulative PD</t>
  </si>
  <si>
    <t>Year 8 Pre-forward looking cumulative PD</t>
  </si>
  <si>
    <t>Year 9 Pre-forward looking cumulative PD</t>
  </si>
  <si>
    <t>Year 10 Pre-forward looking cumulative PD</t>
  </si>
  <si>
    <t>Year 11 Pre-forward looking cumulative PD</t>
  </si>
  <si>
    <t>Year 12 Pre-forward looking cumulative PD</t>
  </si>
  <si>
    <t>Year 13 Pre-forward looking cumulative PD</t>
  </si>
  <si>
    <t>Year 14 Pre-forward looking cumulative PD</t>
  </si>
  <si>
    <t>Year 15 Pre-forward looking cumulative PD</t>
  </si>
  <si>
    <t>Year 16 Pre-forward looking cumulative PD</t>
  </si>
  <si>
    <t>Year 17 Pre-forward looking cumulative PD</t>
  </si>
  <si>
    <t>Year 18 Pre-forward looking cumulative PD</t>
  </si>
  <si>
    <t>Year 19 Pre-forward looking cumulative PD</t>
  </si>
  <si>
    <t>Year 20 Pre-forward looking cumulative PD</t>
  </si>
  <si>
    <t>Year 21 Pre-forward looking cumulative PD</t>
  </si>
  <si>
    <t>Year 22 Pre-forward looking cumulative PD</t>
  </si>
  <si>
    <t>Year 23 Pre-forward looking cumulative PD</t>
  </si>
  <si>
    <t>Year 24 Pre-forward looking cumulative PD</t>
  </si>
  <si>
    <t>Year 25 Pre-forward looking cumulative PD</t>
  </si>
  <si>
    <t>Year 26 Pre-forward looking cumulative PD</t>
  </si>
  <si>
    <t>Year 27 Pre-forward looking cumulative PD</t>
  </si>
  <si>
    <t>Year 28 Pre-forward looking cumulative PD</t>
  </si>
  <si>
    <t>Year 29 Pre-forward looking cumulative PD</t>
  </si>
  <si>
    <t>Year 30 Pre-forward looking cumulative PD</t>
  </si>
  <si>
    <t>Mandatory input</t>
  </si>
  <si>
    <t>Y</t>
  </si>
  <si>
    <t>N</t>
  </si>
  <si>
    <t>Parameter data type</t>
  </si>
  <si>
    <t>str</t>
  </si>
  <si>
    <t>float</t>
  </si>
  <si>
    <t>GC001</t>
  </si>
  <si>
    <t>Global corporate AAA rated</t>
  </si>
  <si>
    <t>GC002</t>
  </si>
  <si>
    <t>Global corporate AA+ rated</t>
  </si>
  <si>
    <t>GC003</t>
  </si>
  <si>
    <t>Global corporate AA rated</t>
  </si>
  <si>
    <t>GC004</t>
  </si>
  <si>
    <t>Global corporate AA- rated</t>
  </si>
  <si>
    <t>GC005</t>
  </si>
  <si>
    <t>Global corporate A+ rated</t>
  </si>
  <si>
    <t>GC006</t>
  </si>
  <si>
    <t>Global corporate A rated</t>
  </si>
  <si>
    <t>GC007</t>
  </si>
  <si>
    <t>Global corporate A- rated</t>
  </si>
  <si>
    <t>GC008</t>
  </si>
  <si>
    <t>Global corporate BBB+ rated</t>
  </si>
  <si>
    <t>GC009</t>
  </si>
  <si>
    <t>Global corporate BBB rated</t>
  </si>
  <si>
    <t>GC010</t>
  </si>
  <si>
    <t>Global corporate BBB- rated</t>
  </si>
  <si>
    <t>GC011</t>
  </si>
  <si>
    <t>Global corporate BB+ rated</t>
  </si>
  <si>
    <t>GC012</t>
  </si>
  <si>
    <t>Global corporate BB rated</t>
  </si>
  <si>
    <t>GC013</t>
  </si>
  <si>
    <t>Global corporate BB- rated</t>
  </si>
  <si>
    <t>GC014</t>
  </si>
  <si>
    <t>Global corporate B+ rated</t>
  </si>
  <si>
    <t>GC015</t>
  </si>
  <si>
    <t>Global corporate B rated</t>
  </si>
  <si>
    <t>GC016</t>
  </si>
  <si>
    <t>Global corporate B- rated</t>
  </si>
  <si>
    <t>GC017</t>
  </si>
  <si>
    <t>Global corporate CCC/C rated</t>
  </si>
  <si>
    <t>GC018</t>
  </si>
  <si>
    <t>Global corporate D rated</t>
  </si>
  <si>
    <t>GC099</t>
  </si>
  <si>
    <t>Global corporate unrated</t>
  </si>
  <si>
    <t>SF001</t>
  </si>
  <si>
    <t>Sovereign Foreign AAA rated</t>
  </si>
  <si>
    <t>SF002</t>
  </si>
  <si>
    <t>Sovereign Foreign AA+ rated</t>
  </si>
  <si>
    <t>SF003</t>
  </si>
  <si>
    <t>Sovereign Foreign AA rated</t>
  </si>
  <si>
    <t>SF004</t>
  </si>
  <si>
    <t>Sovereign Foreign AA- rated</t>
  </si>
  <si>
    <t>SF005</t>
  </si>
  <si>
    <t>Sovereign Foreign A+ rated</t>
  </si>
  <si>
    <t>SF006</t>
  </si>
  <si>
    <t>Sovereign Foreign A rated</t>
  </si>
  <si>
    <t>SF007</t>
  </si>
  <si>
    <t>Sovereign Foreign A- rated</t>
  </si>
  <si>
    <t>SF008</t>
  </si>
  <si>
    <t>Sovereign Foreign BBB+ rated</t>
  </si>
  <si>
    <t>SF009</t>
  </si>
  <si>
    <t>Sovereign Foreign BBB rated</t>
  </si>
  <si>
    <t>SF010</t>
  </si>
  <si>
    <t>Sovereign Foreign BBB- rated</t>
  </si>
  <si>
    <t>SF011</t>
  </si>
  <si>
    <t>Sovereign Foreign BB+ rated</t>
  </si>
  <si>
    <t>SF012</t>
  </si>
  <si>
    <t>Sovereign Foreign BB rated</t>
  </si>
  <si>
    <t>SF013</t>
  </si>
  <si>
    <t>Sovereign Foreign BB- rated</t>
  </si>
  <si>
    <t>SF014</t>
  </si>
  <si>
    <t>Sovereign Foreign B+ rated</t>
  </si>
  <si>
    <t>SF015</t>
  </si>
  <si>
    <t>Sovereign Foreign B rated</t>
  </si>
  <si>
    <t>SF016</t>
  </si>
  <si>
    <t>Sovereign Foreign B- rated</t>
  </si>
  <si>
    <t>SF017</t>
  </si>
  <si>
    <t>Sovereign Foreign CCC/C rated</t>
  </si>
  <si>
    <t>SF018</t>
  </si>
  <si>
    <t>Sovereign Foreign D rated</t>
  </si>
  <si>
    <t>SF099</t>
  </si>
  <si>
    <t>Sovereign Foreign unrated</t>
  </si>
  <si>
    <t>SL001</t>
  </si>
  <si>
    <t>Sovereign Local AAA rated</t>
  </si>
  <si>
    <t>SL002</t>
  </si>
  <si>
    <t>Sovereign Local AA+ rated</t>
  </si>
  <si>
    <t>SL003</t>
  </si>
  <si>
    <t>Sovereign Local AA rated</t>
  </si>
  <si>
    <t>SL004</t>
  </si>
  <si>
    <t>Sovereign Local AA- rated</t>
  </si>
  <si>
    <t>SL005</t>
  </si>
  <si>
    <t>Sovereign Local A+ rated</t>
  </si>
  <si>
    <t>SL006</t>
  </si>
  <si>
    <t>Sovereign Local A rated</t>
  </si>
  <si>
    <t>SL007</t>
  </si>
  <si>
    <t>Sovereign Local A- rated</t>
  </si>
  <si>
    <t>SL008</t>
  </si>
  <si>
    <t>Sovereign Local BBB+ rated</t>
  </si>
  <si>
    <t>SL009</t>
  </si>
  <si>
    <t>Sovereign Local BBB rated</t>
  </si>
  <si>
    <t>SL010</t>
  </si>
  <si>
    <t>Sovereign Local BBB- rated</t>
  </si>
  <si>
    <t>SL011</t>
  </si>
  <si>
    <t>Sovereign Local BB+ rated</t>
  </si>
  <si>
    <t>SL012</t>
  </si>
  <si>
    <t>Sovereign Local BB rated</t>
  </si>
  <si>
    <t>SL013</t>
  </si>
  <si>
    <t>Sovereign Local BB- rated</t>
  </si>
  <si>
    <t>SL014</t>
  </si>
  <si>
    <t>Sovereign Local B+ rated</t>
  </si>
  <si>
    <t>SL015</t>
  </si>
  <si>
    <t>Sovereign Local B rated</t>
  </si>
  <si>
    <t>SL016</t>
  </si>
  <si>
    <t>Sovereign Local B- rated</t>
  </si>
  <si>
    <t>SL017</t>
  </si>
  <si>
    <t>Sovereign Local CCC/C rated</t>
  </si>
  <si>
    <t>SL018</t>
  </si>
  <si>
    <t>Sovereign Local D rated</t>
  </si>
  <si>
    <t>SL099</t>
  </si>
  <si>
    <t>Sovereign Local unrated</t>
  </si>
  <si>
    <t>LGD_0</t>
  </si>
  <si>
    <t>LGD_1</t>
  </si>
  <si>
    <t>LGD_2</t>
  </si>
  <si>
    <t>LGD_3</t>
  </si>
  <si>
    <t>LGD_4</t>
  </si>
  <si>
    <t>LGD_5</t>
  </si>
  <si>
    <t>LGD_6</t>
  </si>
  <si>
    <t>LGD_7</t>
  </si>
  <si>
    <t>LGD_8</t>
  </si>
  <si>
    <t>LGD_9</t>
  </si>
  <si>
    <t>LGD_10</t>
  </si>
  <si>
    <t>LGD_11</t>
  </si>
  <si>
    <t>LGD_12</t>
  </si>
  <si>
    <t>LGD_13</t>
  </si>
  <si>
    <t>LGD_14</t>
  </si>
  <si>
    <t>LGD_15</t>
  </si>
  <si>
    <t>LGD_16</t>
  </si>
  <si>
    <t>LGD_17</t>
  </si>
  <si>
    <t>LGD_18</t>
  </si>
  <si>
    <t>LGD_19</t>
  </si>
  <si>
    <t>LGD_20</t>
  </si>
  <si>
    <t>LGD_21</t>
  </si>
  <si>
    <t>LGD_22</t>
  </si>
  <si>
    <t>LGD_23</t>
  </si>
  <si>
    <t>LGD_24</t>
  </si>
  <si>
    <t>LGD_25</t>
  </si>
  <si>
    <t>LGD_26</t>
  </si>
  <si>
    <t>LGD_27</t>
  </si>
  <si>
    <t>LGD_28</t>
  </si>
  <si>
    <t>LGD_29</t>
  </si>
  <si>
    <t>LGD_30</t>
  </si>
  <si>
    <t>Description of the LGD segment</t>
  </si>
  <si>
    <t>Year 0 Cumulative LGD</t>
  </si>
  <si>
    <t>Year 1 Cumulative LGD</t>
  </si>
  <si>
    <t>Year 2 Cumulative LGD</t>
  </si>
  <si>
    <t>Year 3 Cumulative LGD</t>
  </si>
  <si>
    <t>Year 4 Cumulative LGD</t>
  </si>
  <si>
    <t>Year 5 Cumulative LGD</t>
  </si>
  <si>
    <t>Year 6 Cumulative LGD</t>
  </si>
  <si>
    <t>Year 7 Cumulative LGD</t>
  </si>
  <si>
    <t>Year 8 Cumulative LGD</t>
  </si>
  <si>
    <t>Year 9 Cumulative LGD</t>
  </si>
  <si>
    <t>Year 10 Cumulative LGD</t>
  </si>
  <si>
    <t>Year 11 Cumulative LGD</t>
  </si>
  <si>
    <t>Year 12 Cumulative LGD</t>
  </si>
  <si>
    <t>Year 13 Cumulative LGD</t>
  </si>
  <si>
    <t>Year 14 Cumulative LGD</t>
  </si>
  <si>
    <t>Year 15 Cumulative LGD</t>
  </si>
  <si>
    <t>Year 16 Cumulative LGD</t>
  </si>
  <si>
    <t>Year 17 Cumulative LGD</t>
  </si>
  <si>
    <t>Year 18 Cumulative LGD</t>
  </si>
  <si>
    <t>Year 19 Cumulative LGD</t>
  </si>
  <si>
    <t>Year 20 Cumulative LGD</t>
  </si>
  <si>
    <t>Year 21 Cumulative LGD</t>
  </si>
  <si>
    <t>Year 22 Cumulative LGD</t>
  </si>
  <si>
    <t>Year 23 Cumulative LGD</t>
  </si>
  <si>
    <t>Year 24 Cumulative LGD</t>
  </si>
  <si>
    <t>Year 25 Cumulative LGD</t>
  </si>
  <si>
    <t>Year 26 Cumulative LGD</t>
  </si>
  <si>
    <t>Year 27 Cumulative LGD</t>
  </si>
  <si>
    <t>Year 28 Cumulative LGD</t>
  </si>
  <si>
    <t>Year 29 Cumulative LGD</t>
  </si>
  <si>
    <t>Year 30 Cumulative LGD</t>
  </si>
  <si>
    <t>EAD segment pool ID for risk parameters mapping</t>
  </si>
  <si>
    <t>Description of the EAD segment</t>
  </si>
  <si>
    <t>Credit conversion factor value input</t>
  </si>
  <si>
    <t>On balance sheet exposure</t>
  </si>
  <si>
    <t>Lifetime segment pool ID for risk parameters mapping</t>
  </si>
  <si>
    <t>Description on the lifetime segment</t>
  </si>
  <si>
    <t>Lifetime value (in days)</t>
  </si>
  <si>
    <t>CC001</t>
  </si>
  <si>
    <t>Credit Card Stage 1</t>
  </si>
  <si>
    <t>Macroeconomic factor ("MEF") model Identifier</t>
  </si>
  <si>
    <t>Macroeconomic factor name</t>
  </si>
  <si>
    <t>Mathematical transformation on the MEF; Sequential operations are separated by _</t>
  </si>
  <si>
    <t>Mean-SD standardization parameters</t>
  </si>
  <si>
    <t>Probit regression model coefficient</t>
  </si>
  <si>
    <t>CNSMR</t>
  </si>
  <si>
    <t>MNG_USDMNT_DOL</t>
  </si>
  <si>
    <t>YOY_LAG(1)</t>
  </si>
  <si>
    <t>MNG_UNR_PCT</t>
  </si>
  <si>
    <t>MNG_PLR_PCT</t>
  </si>
  <si>
    <t>MNG_GDP_YOY</t>
  </si>
  <si>
    <t>INTERCEPT</t>
  </si>
  <si>
    <t>ID</t>
  </si>
  <si>
    <t>BUSNS</t>
  </si>
  <si>
    <t>NNCRD</t>
  </si>
  <si>
    <t>YOY</t>
  </si>
  <si>
    <t>PORTFOLIO_CODE</t>
  </si>
  <si>
    <t>PROXY_PORTFOLIO_CODE</t>
  </si>
  <si>
    <t>STAGE_FINAL</t>
  </si>
  <si>
    <t>PROXY_ECL_PCT</t>
  </si>
  <si>
    <t>portfolio code for contract under proxy ECL calculation approach</t>
  </si>
  <si>
    <t>Proxy portfolio code being borrowerd on ECL percentage</t>
  </si>
  <si>
    <t>Stage assessment result</t>
  </si>
  <si>
    <t>Proxy ECL percentage used in ECL calculation</t>
  </si>
  <si>
    <t>KB91</t>
  </si>
  <si>
    <t>KB21</t>
  </si>
  <si>
    <t>int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</si>
  <si>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</si>
  <si>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</si>
  <si>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</si>
  <si>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</si>
  <si>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</si>
  <si>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</si>
  <si>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</si>
  <si>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</si>
  <si>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</si>
  <si>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</si>
  <si>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</si>
  <si>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</si>
  <si>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</si>
  <si>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</si>
  <si>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</si>
  <si>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</si>
  <si>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CCC/C</t>
  </si>
  <si>
    <t>CREDIT_RATING_NOTCH</t>
  </si>
  <si>
    <t>CREDIT_RATING</t>
  </si>
  <si>
    <t>Credit rating</t>
  </si>
  <si>
    <t>Credit rating in notch number</t>
  </si>
  <si>
    <t>D</t>
  </si>
  <si>
    <t>Prepayment rate</t>
  </si>
  <si>
    <t>Description on the prepayment ID</t>
  </si>
  <si>
    <t>Prepaymet model ID</t>
  </si>
  <si>
    <t>PD_POOL_ID</t>
  </si>
  <si>
    <t>POOL_DESCRIPTION</t>
  </si>
  <si>
    <t>LGD_POOL_ID</t>
  </si>
  <si>
    <t>EAD_POOL_ID</t>
  </si>
  <si>
    <t>DESCRIPTION</t>
  </si>
  <si>
    <t>LIFETIME_ID</t>
  </si>
  <si>
    <t>LIFETIME_VAL</t>
  </si>
  <si>
    <t>MEF_MODEL_ID</t>
  </si>
  <si>
    <t>MEF_NAME</t>
  </si>
  <si>
    <t>TRANSFORMATION</t>
  </si>
  <si>
    <t>MEAN</t>
  </si>
  <si>
    <t>SD</t>
  </si>
  <si>
    <t>MODEL_COEF</t>
  </si>
  <si>
    <t>LGD_CATEGORY</t>
  </si>
  <si>
    <t>LGD_APPROACH</t>
  </si>
  <si>
    <t>LGD_PRODUCT_DIGIT</t>
  </si>
  <si>
    <t>LGD calculation approach</t>
  </si>
  <si>
    <t>category</t>
  </si>
  <si>
    <t>corp_green</t>
  </si>
  <si>
    <t>corp</t>
  </si>
  <si>
    <t>sme_green</t>
  </si>
  <si>
    <t>sme</t>
  </si>
  <si>
    <t>micro_green</t>
  </si>
  <si>
    <t>micro</t>
  </si>
  <si>
    <t>salary</t>
  </si>
  <si>
    <t>leasing</t>
  </si>
  <si>
    <t>secured_by_apartment</t>
  </si>
  <si>
    <t>herder</t>
  </si>
  <si>
    <t>pension</t>
  </si>
  <si>
    <t>mortgage</t>
  </si>
  <si>
    <t>secured_by_deposit</t>
  </si>
  <si>
    <t>C</t>
  </si>
  <si>
    <t>NNL</t>
  </si>
  <si>
    <t>SF</t>
  </si>
  <si>
    <t>SL</t>
  </si>
  <si>
    <t>NNL51000001</t>
  </si>
  <si>
    <t>NNL51000002</t>
  </si>
  <si>
    <t>NNL51000003</t>
  </si>
  <si>
    <t>NNL51000004</t>
  </si>
  <si>
    <t>NNL51000005</t>
  </si>
  <si>
    <t>NNL51000006</t>
  </si>
  <si>
    <t>NNL51000007</t>
  </si>
  <si>
    <t>NNL51000008</t>
  </si>
  <si>
    <t>NNL51000009</t>
  </si>
  <si>
    <t>NNL51000010</t>
  </si>
  <si>
    <t>NNL51000011</t>
  </si>
  <si>
    <t>NNL51000012</t>
  </si>
  <si>
    <t>NNL51000013</t>
  </si>
  <si>
    <t>NNL51000014</t>
  </si>
  <si>
    <t>NNL51000015</t>
  </si>
  <si>
    <t>NNL51000016</t>
  </si>
  <si>
    <t>NNL51000017</t>
  </si>
  <si>
    <t>NNL51000018</t>
  </si>
  <si>
    <t>NNL52000001</t>
  </si>
  <si>
    <t>NNL52000002</t>
  </si>
  <si>
    <t>NNL52000003</t>
  </si>
  <si>
    <t>NNL52000004</t>
  </si>
  <si>
    <t>NNL52000005</t>
  </si>
  <si>
    <t>NNL52000006</t>
  </si>
  <si>
    <t>NNL52000007</t>
  </si>
  <si>
    <t>NNL52000008</t>
  </si>
  <si>
    <t>NNL52000009</t>
  </si>
  <si>
    <t>NNL52000010</t>
  </si>
  <si>
    <t>NNL52000011</t>
  </si>
  <si>
    <t>NNL52000012</t>
  </si>
  <si>
    <t>NNL52000013</t>
  </si>
  <si>
    <t>NNL52000014</t>
  </si>
  <si>
    <t>NNL52000015</t>
  </si>
  <si>
    <t>NNL52000016</t>
  </si>
  <si>
    <t>NNL52000017</t>
  </si>
  <si>
    <t>NNL52000018</t>
  </si>
  <si>
    <t>NNL53000001</t>
  </si>
  <si>
    <t>NNL53000002</t>
  </si>
  <si>
    <t>NNL53000003</t>
  </si>
  <si>
    <t>NNL53000004</t>
  </si>
  <si>
    <t>NNL53000005</t>
  </si>
  <si>
    <t>NNL53000006</t>
  </si>
  <si>
    <t>NNL53000007</t>
  </si>
  <si>
    <t>NNL53000008</t>
  </si>
  <si>
    <t>NNL53000009</t>
  </si>
  <si>
    <t>NNL53000010</t>
  </si>
  <si>
    <t>NNL53000011</t>
  </si>
  <si>
    <t>NNL53000012</t>
  </si>
  <si>
    <t>NNL53000013</t>
  </si>
  <si>
    <t>NNL53000014</t>
  </si>
  <si>
    <t>NNL53000015</t>
  </si>
  <si>
    <t>NNL53000016</t>
  </si>
  <si>
    <t>NNL53000017</t>
  </si>
  <si>
    <t>NNL53000018</t>
  </si>
  <si>
    <t>ULF001</t>
  </si>
  <si>
    <t>ULF002</t>
  </si>
  <si>
    <t>ULF003</t>
  </si>
  <si>
    <t>ULF004</t>
  </si>
  <si>
    <t>ULF005</t>
  </si>
  <si>
    <t>ULF099</t>
  </si>
  <si>
    <t>CC002</t>
  </si>
  <si>
    <t>Credit Card Stage 2</t>
  </si>
  <si>
    <t>CC003</t>
  </si>
  <si>
    <t>Credit Card Stage 3</t>
  </si>
  <si>
    <t>CCF_VAL</t>
  </si>
  <si>
    <t>XX099</t>
  </si>
  <si>
    <t>Null prepayment rate</t>
  </si>
  <si>
    <t>PREPAYMENT_ID</t>
  </si>
  <si>
    <t>PREPAYMENT_RATE_VAL</t>
  </si>
  <si>
    <t>LAG(1)</t>
  </si>
  <si>
    <t>Commitments, except UCCs</t>
  </si>
  <si>
    <t>Note Issuance Facilities (NIFs) and Revolving Underwriting Facilities (RUFs) and Transaction-related Contingent Items</t>
  </si>
  <si>
    <t>CL001</t>
  </si>
  <si>
    <t>Credit Line Stage 1</t>
  </si>
  <si>
    <t>CL002</t>
  </si>
  <si>
    <t>Credit Line Stage 2</t>
  </si>
  <si>
    <t>CL003</t>
  </si>
  <si>
    <t>Credit Line Stage 3</t>
  </si>
  <si>
    <t>LL011</t>
  </si>
  <si>
    <t>prepayment rate for corp_green</t>
  </si>
  <si>
    <t>LL012</t>
  </si>
  <si>
    <t>prepayment rate for corp</t>
  </si>
  <si>
    <t>LL021</t>
  </si>
  <si>
    <t>prepayment rate for sme_green</t>
  </si>
  <si>
    <t>LL022</t>
  </si>
  <si>
    <t>prepayment rate for sme</t>
  </si>
  <si>
    <t>LL031</t>
  </si>
  <si>
    <t>prepayment rate for micro_green</t>
  </si>
  <si>
    <t>LL032</t>
  </si>
  <si>
    <t>prepayment rate for micro</t>
  </si>
  <si>
    <t>LL061</t>
  </si>
  <si>
    <t>prepayment rate for salary</t>
  </si>
  <si>
    <t>LL062</t>
  </si>
  <si>
    <t>prepayment rate for leasing</t>
  </si>
  <si>
    <t>LL063</t>
  </si>
  <si>
    <t>prepayment rate for secured_by_apartment</t>
  </si>
  <si>
    <t>LL064</t>
  </si>
  <si>
    <t>prepayment rate for herder</t>
  </si>
  <si>
    <t>LL065</t>
  </si>
  <si>
    <t>prepayment rate for pension</t>
  </si>
  <si>
    <t>LL066</t>
  </si>
  <si>
    <t>prepayment rate for mortgage</t>
  </si>
  <si>
    <t>LL067</t>
  </si>
  <si>
    <t>prepayment rate for secured_by_deposit</t>
  </si>
  <si>
    <t>NNL53000099</t>
  </si>
  <si>
    <t>NNL51000099</t>
  </si>
  <si>
    <t>NNL52000099</t>
  </si>
  <si>
    <t>PRTFLO_ID</t>
  </si>
  <si>
    <t>PROXY_PORTFOLIO_ID</t>
  </si>
  <si>
    <t>portfolio ID for contract in instrument table under proxy ECL calculation approach</t>
  </si>
  <si>
    <t>Proxy portfolio ID being used in ECL Engine</t>
  </si>
  <si>
    <t>Guarantees issued</t>
  </si>
  <si>
    <t>Import letters of credit</t>
  </si>
  <si>
    <t>1601-3000</t>
  </si>
  <si>
    <t>Factoring</t>
  </si>
  <si>
    <t>1601-4000</t>
  </si>
  <si>
    <t>KB92</t>
  </si>
  <si>
    <t>KB11</t>
  </si>
  <si>
    <t>CFL_LGD_ASSIGNMENT</t>
  </si>
  <si>
    <t>NA</t>
  </si>
  <si>
    <t>The LGD category to assign when there's no default cases in the original category.</t>
  </si>
  <si>
    <t>LGD category</t>
  </si>
  <si>
    <t>CFL</t>
  </si>
  <si>
    <t>INSTR_TYPE</t>
  </si>
  <si>
    <t xml:space="preserve">Instrument type for contract of off-balance exposure in instrument table </t>
  </si>
  <si>
    <t>Corporate/business card facility</t>
  </si>
  <si>
    <t>Domestic guarantee facility</t>
  </si>
  <si>
    <t>Multi purpose credit facility committed</t>
  </si>
  <si>
    <t>Approved but not yet disbursed</t>
  </si>
  <si>
    <t>Overdraft credit facility</t>
  </si>
  <si>
    <t>Trade credit facility</t>
  </si>
  <si>
    <t>Multi purpose credit facility non committed</t>
  </si>
  <si>
    <t>Credit card</t>
  </si>
  <si>
    <t>Credit line</t>
  </si>
  <si>
    <t>Partially alloted term loan</t>
  </si>
  <si>
    <t>Guarantees  issued</t>
  </si>
  <si>
    <t>Unconditionally Cancellable Commitments (UCCs)</t>
  </si>
  <si>
    <t>Short-Term Self-Liquidating Trade Letters of Credit arising from the movement of goods</t>
  </si>
  <si>
    <t>Direct Credit Substitutes and other Off-Balance Sheet Exposures</t>
  </si>
  <si>
    <t>COL</t>
  </si>
  <si>
    <t>Notch difference criteria</t>
  </si>
  <si>
    <t>NOTCH_DIFF_THRESHOLD</t>
  </si>
  <si>
    <t>AMRT_TYPE_CD</t>
  </si>
  <si>
    <t>Amortization type code</t>
  </si>
  <si>
    <t>EIP</t>
  </si>
  <si>
    <t>Bullet</t>
  </si>
  <si>
    <t>Irregular</t>
  </si>
  <si>
    <t>Description on the prepayment code</t>
  </si>
  <si>
    <t>EIP, Fixed interest rate</t>
  </si>
  <si>
    <t>Bullet and Bullet at maturity</t>
  </si>
  <si>
    <t>Grace on Principal with EIP. 
Up to MAT_DT date customer only pays I, P+I until ORIG_MAT_DT</t>
  </si>
  <si>
    <t>Repayment type</t>
  </si>
  <si>
    <t>REPAYMENT_TYPE</t>
  </si>
  <si>
    <t>NotImplemented</t>
  </si>
  <si>
    <t>Rule of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</si>
</sst>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0%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FFF2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166" fontId="0" fillId="3" borderId="2" xfId="0" applyNumberForma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/>
    <xf numFmtId="164" fontId="0" fillId="0" borderId="1" xfId="1" applyNumberFormat="1" applyFont="1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/>
    <xf numFmtId="165" fontId="0" fillId="0" borderId="1" xfId="1" applyNumberFormat="1" applyFont="1" applyFill="1" applyBorder="1"/>
    <xf numFmtId="165" fontId="0" fillId="2" borderId="1" xfId="1" applyNumberFormat="1" applyFont="1" applyFill="1" applyBorder="1"/>
    <xf numFmtId="0" fontId="0" fillId="0" borderId="1" xfId="0" quotePrefix="1" applyBorder="1"/>
    <xf numFmtId="0" fontId="4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/>
    <xf numFmtId="10" fontId="5" fillId="8" borderId="2" xfId="0" applyNumberFormat="1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/>
    <xf numFmtId="10" fontId="5" fillId="0" borderId="2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4" xfId="0" applyFont="1" applyBorder="1"/>
    <xf numFmtId="0" fontId="6" fillId="0" borderId="3" xfId="0" applyFont="1" applyBorder="1"/>
    <xf numFmtId="166" fontId="0" fillId="0" borderId="2" xfId="0" applyNumberForma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6" fontId="6" fillId="0" borderId="1" xfId="0" applyNumberFormat="1" applyFont="1" applyBorder="1"/>
    <xf numFmtId="0" fontId="8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/>
    </xf>
    <xf numFmtId="0" fontId="5" fillId="0" borderId="4" xfId="0" applyFont="1" applyBorder="1" applyAlignment="1">
      <alignment wrapText="1"/>
    </xf>
  </cellXfs>
  <cellStyles count="3">
    <cellStyle name="Normal" xfId="0" builtinId="0"/>
    <cellStyle name="Normal 6" xfId="2" xr:uid="{26808AB5-F9C9-419A-887E-F68181BADCC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son Kwan" id="{4EDB5EA3-EFEA-4A12-9B6D-C24E047A45C2}" userId="S::Carson.Kwan@hk.ey.com::b3feec21-81c6-426c-a419-9c307261ea13" providerId="AD"/>
  <person displayName="Sophia SC Zhang" id="{ED66FF1B-E1C7-45B7-8471-E759C25F322C}" userId="S::Sophia.SC.Zhang@hk.ey.com::62660273-7373-408a-9274-145656e458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4-25T02:32:21.98" personId="{ED66FF1B-E1C7-45B7-8471-E759C25F322C}" id="{7019A87F-CCAF-45DD-A421-757ADD1AD6B9}">
    <text>For testing purpose, assign a dummy repayment type.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4-12-29T13:35:09.80" personId="{4EDB5EA3-EFEA-4A12-9B6D-C24E047A45C2}" id="{CDF64639-C3B3-4080-B913-B44D094BC7DA}">
    <text>20241229 newly added for non-loan asset stage allocation criteria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495D-1C02-463D-838F-B6A969B11DAD}">
  <dimension ref="A1:D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defaultColWidth="30.54296875" defaultRowHeight="14.5"/>
  <cols>
    <col min="1" max="1" width="21" bestFit="1" customWidth="1"/>
    <col min="3" max="3" width="33.1796875" customWidth="1"/>
    <col min="4" max="4" width="30.54296875" customWidth="1"/>
  </cols>
  <sheetData>
    <row r="1" spans="1:4">
      <c r="A1" s="18" t="s">
        <v>0</v>
      </c>
      <c r="B1" s="19" t="s">
        <v>487</v>
      </c>
      <c r="C1" s="19" t="s">
        <v>314</v>
      </c>
      <c r="D1" s="19" t="s">
        <v>497</v>
      </c>
    </row>
    <row r="2" spans="1:4">
      <c r="A2" s="18" t="s">
        <v>32</v>
      </c>
      <c r="B2" s="20" t="s">
        <v>488</v>
      </c>
      <c r="C2" s="20" t="s">
        <v>492</v>
      </c>
      <c r="D2" s="20" t="s">
        <v>496</v>
      </c>
    </row>
    <row r="3" spans="1:4">
      <c r="A3" s="18" t="s">
        <v>66</v>
      </c>
      <c r="B3" s="19" t="s">
        <v>67</v>
      </c>
      <c r="C3" s="19" t="s">
        <v>68</v>
      </c>
      <c r="D3" s="19" t="s">
        <v>67</v>
      </c>
    </row>
    <row r="4" spans="1:4">
      <c r="A4" s="18" t="s">
        <v>69</v>
      </c>
      <c r="B4" s="19" t="s">
        <v>284</v>
      </c>
      <c r="C4" s="19" t="s">
        <v>70</v>
      </c>
      <c r="D4" s="19" t="s">
        <v>70</v>
      </c>
    </row>
    <row r="5" spans="1:4">
      <c r="A5" s="26">
        <v>1</v>
      </c>
      <c r="B5" s="29">
        <v>100</v>
      </c>
      <c r="C5" s="32" t="s">
        <v>493</v>
      </c>
      <c r="D5" s="33" t="s">
        <v>489</v>
      </c>
    </row>
    <row r="6" spans="1:4">
      <c r="A6" s="26">
        <v>2</v>
      </c>
      <c r="B6" s="29">
        <v>700</v>
      </c>
      <c r="C6" s="32" t="s">
        <v>494</v>
      </c>
      <c r="D6" s="33" t="s">
        <v>490</v>
      </c>
    </row>
    <row r="7" spans="1:4">
      <c r="A7" s="26">
        <v>3</v>
      </c>
      <c r="B7" s="29">
        <v>710</v>
      </c>
      <c r="C7" s="32" t="s">
        <v>499</v>
      </c>
      <c r="D7" s="33" t="s">
        <v>490</v>
      </c>
    </row>
    <row r="8" spans="1:4">
      <c r="A8" s="26">
        <v>4</v>
      </c>
      <c r="B8" s="29">
        <v>1000</v>
      </c>
      <c r="C8" s="32" t="s">
        <v>491</v>
      </c>
      <c r="D8" s="33" t="s">
        <v>490</v>
      </c>
    </row>
    <row r="9" spans="1:4" ht="43.5">
      <c r="A9" s="26">
        <v>5</v>
      </c>
      <c r="B9" s="29">
        <v>2000</v>
      </c>
      <c r="C9" s="42" t="s">
        <v>495</v>
      </c>
      <c r="D9" s="33" t="s">
        <v>498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EA0-16E8-4E6C-A0CE-9BB231CF7E65}">
  <dimension ref="A1:AH61"/>
  <sheetViews>
    <sheetView zoomScale="84" zoomScaleNormal="115" workbookViewId="0">
      <pane xSplit="1" ySplit="4" topLeftCell="B56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2" max="2" width="30.54296875" customWidth="1"/>
    <col min="3" max="3" width="37.453125" customWidth="1"/>
    <col min="4" max="34" width="15.54296875" customWidth="1"/>
  </cols>
  <sheetData>
    <row r="1" spans="1:34">
      <c r="A1" s="18" t="s">
        <v>0</v>
      </c>
      <c r="B1" s="19" t="s">
        <v>310</v>
      </c>
      <c r="C1" s="19" t="s">
        <v>311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19" t="s">
        <v>24</v>
      </c>
      <c r="AB1" s="19" t="s">
        <v>25</v>
      </c>
      <c r="AC1" s="19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  <c r="AH1" s="19" t="s">
        <v>31</v>
      </c>
    </row>
    <row r="2" spans="1:34" ht="43.5">
      <c r="A2" s="18" t="s">
        <v>32</v>
      </c>
      <c r="B2" s="20" t="s">
        <v>33</v>
      </c>
      <c r="C2" s="20" t="s">
        <v>34</v>
      </c>
      <c r="D2" s="20" t="s">
        <v>35</v>
      </c>
      <c r="E2" s="20" t="s">
        <v>36</v>
      </c>
      <c r="F2" s="20" t="s">
        <v>37</v>
      </c>
      <c r="G2" s="20" t="s">
        <v>38</v>
      </c>
      <c r="H2" s="20" t="s">
        <v>39</v>
      </c>
      <c r="I2" s="20" t="s">
        <v>40</v>
      </c>
      <c r="J2" s="20" t="s">
        <v>41</v>
      </c>
      <c r="K2" s="20" t="s">
        <v>42</v>
      </c>
      <c r="L2" s="20" t="s">
        <v>43</v>
      </c>
      <c r="M2" s="20" t="s">
        <v>44</v>
      </c>
      <c r="N2" s="20" t="s">
        <v>45</v>
      </c>
      <c r="O2" s="20" t="s">
        <v>46</v>
      </c>
      <c r="P2" s="20" t="s">
        <v>47</v>
      </c>
      <c r="Q2" s="20" t="s">
        <v>48</v>
      </c>
      <c r="R2" s="20" t="s">
        <v>49</v>
      </c>
      <c r="S2" s="20" t="s">
        <v>50</v>
      </c>
      <c r="T2" s="20" t="s">
        <v>51</v>
      </c>
      <c r="U2" s="20" t="s">
        <v>52</v>
      </c>
      <c r="V2" s="20" t="s">
        <v>53</v>
      </c>
      <c r="W2" s="20" t="s">
        <v>54</v>
      </c>
      <c r="X2" s="20" t="s">
        <v>55</v>
      </c>
      <c r="Y2" s="20" t="s">
        <v>56</v>
      </c>
      <c r="Z2" s="20" t="s">
        <v>57</v>
      </c>
      <c r="AA2" s="20" t="s">
        <v>58</v>
      </c>
      <c r="AB2" s="20" t="s">
        <v>59</v>
      </c>
      <c r="AC2" s="20" t="s">
        <v>60</v>
      </c>
      <c r="AD2" s="20" t="s">
        <v>61</v>
      </c>
      <c r="AE2" s="20" t="s">
        <v>62</v>
      </c>
      <c r="AF2" s="20" t="s">
        <v>63</v>
      </c>
      <c r="AG2" s="20" t="s">
        <v>64</v>
      </c>
      <c r="AH2" s="20" t="s">
        <v>65</v>
      </c>
    </row>
    <row r="3" spans="1:34">
      <c r="A3" s="18" t="s">
        <v>66</v>
      </c>
      <c r="B3" s="20" t="s">
        <v>67</v>
      </c>
      <c r="C3" s="20" t="s">
        <v>68</v>
      </c>
      <c r="D3" s="20" t="s">
        <v>67</v>
      </c>
      <c r="E3" s="20" t="s">
        <v>67</v>
      </c>
      <c r="F3" s="20" t="s">
        <v>67</v>
      </c>
      <c r="G3" s="20" t="s">
        <v>67</v>
      </c>
      <c r="H3" s="20" t="s">
        <v>67</v>
      </c>
      <c r="I3" s="20" t="s">
        <v>67</v>
      </c>
      <c r="J3" s="20" t="s">
        <v>67</v>
      </c>
      <c r="K3" s="20" t="s">
        <v>67</v>
      </c>
      <c r="L3" s="20" t="s">
        <v>67</v>
      </c>
      <c r="M3" s="20" t="s">
        <v>67</v>
      </c>
      <c r="N3" s="20" t="s">
        <v>67</v>
      </c>
      <c r="O3" s="20" t="s">
        <v>67</v>
      </c>
      <c r="P3" s="20" t="s">
        <v>67</v>
      </c>
      <c r="Q3" s="20" t="s">
        <v>67</v>
      </c>
      <c r="R3" s="20" t="s">
        <v>67</v>
      </c>
      <c r="S3" s="20" t="s">
        <v>67</v>
      </c>
      <c r="T3" s="20" t="s">
        <v>67</v>
      </c>
      <c r="U3" s="20" t="s">
        <v>67</v>
      </c>
      <c r="V3" s="20" t="s">
        <v>67</v>
      </c>
      <c r="W3" s="20" t="s">
        <v>67</v>
      </c>
      <c r="X3" s="20" t="s">
        <v>67</v>
      </c>
      <c r="Y3" s="20" t="s">
        <v>67</v>
      </c>
      <c r="Z3" s="20" t="s">
        <v>67</v>
      </c>
      <c r="AA3" s="20" t="s">
        <v>67</v>
      </c>
      <c r="AB3" s="20" t="s">
        <v>67</v>
      </c>
      <c r="AC3" s="20" t="s">
        <v>67</v>
      </c>
      <c r="AD3" s="20" t="s">
        <v>67</v>
      </c>
      <c r="AE3" s="20" t="s">
        <v>67</v>
      </c>
      <c r="AF3" s="20" t="s">
        <v>67</v>
      </c>
      <c r="AG3" s="20" t="s">
        <v>67</v>
      </c>
      <c r="AH3" s="20" t="s">
        <v>67</v>
      </c>
    </row>
    <row r="4" spans="1:34">
      <c r="A4" s="18" t="s">
        <v>69</v>
      </c>
      <c r="B4" s="19" t="s">
        <v>70</v>
      </c>
      <c r="C4" s="19" t="s">
        <v>70</v>
      </c>
      <c r="D4" s="19" t="s">
        <v>71</v>
      </c>
      <c r="E4" s="19" t="s">
        <v>71</v>
      </c>
      <c r="F4" s="19" t="s">
        <v>71</v>
      </c>
      <c r="G4" s="19" t="s">
        <v>71</v>
      </c>
      <c r="H4" s="19" t="s">
        <v>71</v>
      </c>
      <c r="I4" s="19" t="s">
        <v>71</v>
      </c>
      <c r="J4" s="19" t="s">
        <v>71</v>
      </c>
      <c r="K4" s="19" t="s">
        <v>71</v>
      </c>
      <c r="L4" s="19" t="s">
        <v>71</v>
      </c>
      <c r="M4" s="19" t="s">
        <v>71</v>
      </c>
      <c r="N4" s="19" t="s">
        <v>71</v>
      </c>
      <c r="O4" s="19" t="s">
        <v>71</v>
      </c>
      <c r="P4" s="19" t="s">
        <v>71</v>
      </c>
      <c r="Q4" s="19" t="s">
        <v>71</v>
      </c>
      <c r="R4" s="19" t="s">
        <v>71</v>
      </c>
      <c r="S4" s="19" t="s">
        <v>71</v>
      </c>
      <c r="T4" s="19" t="s">
        <v>71</v>
      </c>
      <c r="U4" s="19" t="s">
        <v>71</v>
      </c>
      <c r="V4" s="19" t="s">
        <v>71</v>
      </c>
      <c r="W4" s="19" t="s">
        <v>71</v>
      </c>
      <c r="X4" s="19" t="s">
        <v>71</v>
      </c>
      <c r="Y4" s="19" t="s">
        <v>71</v>
      </c>
      <c r="Z4" s="19" t="s">
        <v>71</v>
      </c>
      <c r="AA4" s="19" t="s">
        <v>71</v>
      </c>
      <c r="AB4" s="19" t="s">
        <v>71</v>
      </c>
      <c r="AC4" s="19" t="s">
        <v>71</v>
      </c>
      <c r="AD4" s="19" t="s">
        <v>71</v>
      </c>
      <c r="AE4" s="19" t="s">
        <v>71</v>
      </c>
      <c r="AF4" s="19" t="s">
        <v>71</v>
      </c>
      <c r="AG4" s="19" t="s">
        <v>71</v>
      </c>
      <c r="AH4" s="19" t="s">
        <v>71</v>
      </c>
    </row>
    <row r="5" spans="1:34">
      <c r="A5" s="21">
        <v>1</v>
      </c>
      <c r="B5" s="22" t="s">
        <v>72</v>
      </c>
      <c r="C5" s="22" t="s">
        <v>73</v>
      </c>
      <c r="D5" s="23">
        <v>0</v>
      </c>
      <c r="E5" s="23">
        <v>1.6842713332394706E-4</v>
      </c>
      <c r="F5" s="23">
        <v>3.3682589894878934E-4</v>
      </c>
      <c r="G5" s="23">
        <v>5.0519630165224427E-4</v>
      </c>
      <c r="H5" s="23">
        <v>6.7353834621142195E-4</v>
      </c>
      <c r="I5" s="23">
        <v>8.4185203740261283E-4</v>
      </c>
      <c r="J5" s="23">
        <v>1.0101373800012192E-3</v>
      </c>
      <c r="K5" s="23">
        <v>1.1783943787820883E-3</v>
      </c>
      <c r="L5" s="23">
        <v>1.3466230385190681E-3</v>
      </c>
      <c r="M5" s="23">
        <v>1.5148233639850073E-3</v>
      </c>
      <c r="N5" s="23">
        <v>1.6829953599523106E-3</v>
      </c>
      <c r="O5" s="23">
        <v>1.8511390311924947E-3</v>
      </c>
      <c r="P5" s="23">
        <v>2.0192543824761877E-3</v>
      </c>
      <c r="Q5" s="23">
        <v>2.1873414185731299E-3</v>
      </c>
      <c r="R5" s="23">
        <v>2.3554001442522843E-3</v>
      </c>
      <c r="S5" s="23">
        <v>2.5234305642822807E-3</v>
      </c>
      <c r="T5" s="23">
        <v>2.5234305642822807E-3</v>
      </c>
      <c r="U5" s="23">
        <v>2.5234305642822807E-3</v>
      </c>
      <c r="V5" s="23">
        <v>2.5234305642822807E-3</v>
      </c>
      <c r="W5" s="23">
        <v>2.5234305642822807E-3</v>
      </c>
      <c r="X5" s="23">
        <v>2.5234305642822807E-3</v>
      </c>
      <c r="Y5" s="23">
        <v>2.5234305642822807E-3</v>
      </c>
      <c r="Z5" s="23">
        <v>2.5234305642822807E-3</v>
      </c>
      <c r="AA5" s="23">
        <v>2.5234305642822807E-3</v>
      </c>
      <c r="AB5" s="23">
        <v>2.5234305642822807E-3</v>
      </c>
      <c r="AC5" s="23">
        <v>2.5234305642822807E-3</v>
      </c>
      <c r="AD5" s="23">
        <v>2.5234305642822807E-3</v>
      </c>
      <c r="AE5" s="23">
        <v>2.5234305642822807E-3</v>
      </c>
      <c r="AF5" s="23">
        <v>2.5234305642822807E-3</v>
      </c>
      <c r="AG5" s="23">
        <v>2.5234305642822807E-3</v>
      </c>
      <c r="AH5" s="23">
        <v>2.5234305642822807E-3</v>
      </c>
    </row>
    <row r="6" spans="1:34">
      <c r="A6" s="24">
        <v>2</v>
      </c>
      <c r="B6" s="25" t="s">
        <v>74</v>
      </c>
      <c r="C6" s="22" t="s">
        <v>75</v>
      </c>
      <c r="D6" s="23">
        <v>0</v>
      </c>
      <c r="E6" s="23">
        <v>1.6842713332394706E-4</v>
      </c>
      <c r="F6" s="23">
        <v>3.3682589894878934E-4</v>
      </c>
      <c r="G6" s="23">
        <v>5.0519630165224427E-4</v>
      </c>
      <c r="H6" s="23">
        <v>6.7353834621142195E-4</v>
      </c>
      <c r="I6" s="23">
        <v>8.4185203740261283E-4</v>
      </c>
      <c r="J6" s="23">
        <v>1.0101373800012192E-3</v>
      </c>
      <c r="K6" s="23">
        <v>1.1783943787820883E-3</v>
      </c>
      <c r="L6" s="23">
        <v>1.3466230385190681E-3</v>
      </c>
      <c r="M6" s="23">
        <v>1.5148233639850073E-3</v>
      </c>
      <c r="N6" s="23">
        <v>1.6829953599523106E-3</v>
      </c>
      <c r="O6" s="23">
        <v>1.8511390311924947E-3</v>
      </c>
      <c r="P6" s="23">
        <v>2.0192543824761877E-3</v>
      </c>
      <c r="Q6" s="23">
        <v>2.1873414185731299E-3</v>
      </c>
      <c r="R6" s="23">
        <v>2.3554001442522843E-3</v>
      </c>
      <c r="S6" s="23">
        <v>2.5234305642822807E-3</v>
      </c>
      <c r="T6" s="23">
        <v>2.5234305642822807E-3</v>
      </c>
      <c r="U6" s="23">
        <v>2.5234305642822807E-3</v>
      </c>
      <c r="V6" s="23">
        <v>2.5234305642822807E-3</v>
      </c>
      <c r="W6" s="23">
        <v>2.5234305642822807E-3</v>
      </c>
      <c r="X6" s="23">
        <v>2.5234305642822807E-3</v>
      </c>
      <c r="Y6" s="23">
        <v>2.5234305642822807E-3</v>
      </c>
      <c r="Z6" s="23">
        <v>2.5234305642822807E-3</v>
      </c>
      <c r="AA6" s="23">
        <v>2.5234305642822807E-3</v>
      </c>
      <c r="AB6" s="23">
        <v>2.5234305642822807E-3</v>
      </c>
      <c r="AC6" s="23">
        <v>2.5234305642822807E-3</v>
      </c>
      <c r="AD6" s="23">
        <v>2.5234305642822807E-3</v>
      </c>
      <c r="AE6" s="23">
        <v>2.5234305642822807E-3</v>
      </c>
      <c r="AF6" s="23">
        <v>2.5234305642822807E-3</v>
      </c>
      <c r="AG6" s="23">
        <v>2.5234305642822807E-3</v>
      </c>
      <c r="AH6" s="23">
        <v>2.5234305642822807E-3</v>
      </c>
    </row>
    <row r="7" spans="1:34">
      <c r="A7" s="24">
        <v>3</v>
      </c>
      <c r="B7" s="25" t="s">
        <v>76</v>
      </c>
      <c r="C7" s="22" t="s">
        <v>77</v>
      </c>
      <c r="D7" s="23">
        <v>0</v>
      </c>
      <c r="E7" s="23">
        <v>2.0000000000000001E-4</v>
      </c>
      <c r="F7" s="23">
        <v>3.99959999999977E-4</v>
      </c>
      <c r="G7" s="23">
        <v>5.9988000799993113E-4</v>
      </c>
      <c r="H7" s="23">
        <v>7.9976003199833112E-4</v>
      </c>
      <c r="I7" s="23">
        <v>9.9960007999189138E-4</v>
      </c>
      <c r="J7" s="23">
        <v>1.199400159975883E-3</v>
      </c>
      <c r="K7" s="23">
        <v>1.3991602799439118E-3</v>
      </c>
      <c r="L7" s="23">
        <v>1.5988804478879182E-3</v>
      </c>
      <c r="M7" s="23">
        <v>1.7985606717982883E-3</v>
      </c>
      <c r="N7" s="23">
        <v>1.9982009596639649E-3</v>
      </c>
      <c r="O7" s="23">
        <v>2.1978013194720036E-3</v>
      </c>
      <c r="P7" s="23">
        <v>2.3973617592081276E-3</v>
      </c>
      <c r="Q7" s="23">
        <v>2.5968822868561725E-3</v>
      </c>
      <c r="R7" s="23">
        <v>2.7963629103988641E-3</v>
      </c>
      <c r="S7" s="23">
        <v>2.9958036378168185E-3</v>
      </c>
      <c r="T7" s="23">
        <v>2.9958036378168185E-3</v>
      </c>
      <c r="U7" s="23">
        <v>2.9958036378168185E-3</v>
      </c>
      <c r="V7" s="23">
        <v>2.9958036378168185E-3</v>
      </c>
      <c r="W7" s="23">
        <v>2.9958036378168185E-3</v>
      </c>
      <c r="X7" s="23">
        <v>2.9958036378168185E-3</v>
      </c>
      <c r="Y7" s="23">
        <v>2.9958036378168185E-3</v>
      </c>
      <c r="Z7" s="23">
        <v>2.9958036378168185E-3</v>
      </c>
      <c r="AA7" s="23">
        <v>2.9958036378168185E-3</v>
      </c>
      <c r="AB7" s="23">
        <v>2.9958036378168185E-3</v>
      </c>
      <c r="AC7" s="23">
        <v>2.9958036378168185E-3</v>
      </c>
      <c r="AD7" s="23">
        <v>2.9958036378168185E-3</v>
      </c>
      <c r="AE7" s="23">
        <v>2.9958036378168185E-3</v>
      </c>
      <c r="AF7" s="23">
        <v>2.9958036378168185E-3</v>
      </c>
      <c r="AG7" s="23">
        <v>2.9958036378168185E-3</v>
      </c>
      <c r="AH7" s="23">
        <v>2.9958036378168185E-3</v>
      </c>
    </row>
    <row r="8" spans="1:34">
      <c r="A8" s="24">
        <v>4</v>
      </c>
      <c r="B8" s="25" t="s">
        <v>78</v>
      </c>
      <c r="C8" s="22" t="s">
        <v>79</v>
      </c>
      <c r="D8" s="23">
        <v>0</v>
      </c>
      <c r="E8" s="23">
        <v>2.0000000000000001E-4</v>
      </c>
      <c r="F8" s="23">
        <v>3.99959999999977E-4</v>
      </c>
      <c r="G8" s="23">
        <v>5.9988000799993113E-4</v>
      </c>
      <c r="H8" s="23">
        <v>7.9976003199833112E-4</v>
      </c>
      <c r="I8" s="23">
        <v>9.9960007999189138E-4</v>
      </c>
      <c r="J8" s="23">
        <v>1.199400159975883E-3</v>
      </c>
      <c r="K8" s="23">
        <v>1.3991602799439118E-3</v>
      </c>
      <c r="L8" s="23">
        <v>1.5988804478879182E-3</v>
      </c>
      <c r="M8" s="23">
        <v>1.7985606717982883E-3</v>
      </c>
      <c r="N8" s="23">
        <v>1.9982009596639649E-3</v>
      </c>
      <c r="O8" s="23">
        <v>2.1978013194720036E-3</v>
      </c>
      <c r="P8" s="23">
        <v>2.3973617592081276E-3</v>
      </c>
      <c r="Q8" s="23">
        <v>2.5968822868561725E-3</v>
      </c>
      <c r="R8" s="23">
        <v>2.7963629103988641E-3</v>
      </c>
      <c r="S8" s="23">
        <v>2.9958036378168185E-3</v>
      </c>
      <c r="T8" s="23">
        <v>2.9958036378168185E-3</v>
      </c>
      <c r="U8" s="23">
        <v>2.9958036378168185E-3</v>
      </c>
      <c r="V8" s="23">
        <v>2.9958036378168185E-3</v>
      </c>
      <c r="W8" s="23">
        <v>2.9958036378168185E-3</v>
      </c>
      <c r="X8" s="23">
        <v>2.9958036378168185E-3</v>
      </c>
      <c r="Y8" s="23">
        <v>2.9958036378168185E-3</v>
      </c>
      <c r="Z8" s="23">
        <v>2.9958036378168185E-3</v>
      </c>
      <c r="AA8" s="23">
        <v>2.9958036378168185E-3</v>
      </c>
      <c r="AB8" s="23">
        <v>2.9958036378168185E-3</v>
      </c>
      <c r="AC8" s="23">
        <v>2.9958036378168185E-3</v>
      </c>
      <c r="AD8" s="23">
        <v>2.9958036378168185E-3</v>
      </c>
      <c r="AE8" s="23">
        <v>2.9958036378168185E-3</v>
      </c>
      <c r="AF8" s="23">
        <v>2.9958036378168185E-3</v>
      </c>
      <c r="AG8" s="23">
        <v>2.9958036378168185E-3</v>
      </c>
      <c r="AH8" s="23">
        <v>2.9958036378168185E-3</v>
      </c>
    </row>
    <row r="9" spans="1:34">
      <c r="A9" s="24">
        <v>5</v>
      </c>
      <c r="B9" s="25" t="s">
        <v>80</v>
      </c>
      <c r="C9" s="22" t="s">
        <v>81</v>
      </c>
      <c r="D9" s="23">
        <v>0</v>
      </c>
      <c r="E9" s="23">
        <v>4.0000000000000002E-4</v>
      </c>
      <c r="F9" s="23">
        <v>7.9983999999988509E-4</v>
      </c>
      <c r="G9" s="23">
        <v>1.1995200639998149E-3</v>
      </c>
      <c r="H9" s="23">
        <v>1.5990402559741268E-3</v>
      </c>
      <c r="I9" s="23">
        <v>1.9984006398716669E-3</v>
      </c>
      <c r="J9" s="23">
        <v>2.3976012796156354E-3</v>
      </c>
      <c r="K9" s="23">
        <v>2.7966422391038082E-3</v>
      </c>
      <c r="L9" s="23">
        <v>3.1955235822079819E-3</v>
      </c>
      <c r="M9" s="23">
        <v>3.5942453727750845E-3</v>
      </c>
      <c r="N9" s="23">
        <v>3.9928076746258423E-3</v>
      </c>
      <c r="O9" s="23">
        <v>4.3912105515560018E-3</v>
      </c>
      <c r="P9" s="23">
        <v>4.7894540673352193E-3</v>
      </c>
      <c r="Q9" s="23">
        <v>5.1875382857082819E-3</v>
      </c>
      <c r="R9" s="23">
        <v>5.5854632703938867E-3</v>
      </c>
      <c r="S9" s="23">
        <v>5.9832290850857506E-3</v>
      </c>
      <c r="T9" s="23">
        <v>5.9832290850857506E-3</v>
      </c>
      <c r="U9" s="23">
        <v>5.9832290850857506E-3</v>
      </c>
      <c r="V9" s="23">
        <v>5.9832290850857506E-3</v>
      </c>
      <c r="W9" s="23">
        <v>5.9832290850857506E-3</v>
      </c>
      <c r="X9" s="23">
        <v>5.9832290850857506E-3</v>
      </c>
      <c r="Y9" s="23">
        <v>5.9832290850857506E-3</v>
      </c>
      <c r="Z9" s="23">
        <v>5.9832290850857506E-3</v>
      </c>
      <c r="AA9" s="23">
        <v>5.9832290850857506E-3</v>
      </c>
      <c r="AB9" s="23">
        <v>5.9832290850857506E-3</v>
      </c>
      <c r="AC9" s="23">
        <v>5.9832290850857506E-3</v>
      </c>
      <c r="AD9" s="23">
        <v>5.9832290850857506E-3</v>
      </c>
      <c r="AE9" s="23">
        <v>5.9832290850857506E-3</v>
      </c>
      <c r="AF9" s="23">
        <v>5.9832290850857506E-3</v>
      </c>
      <c r="AG9" s="23">
        <v>5.9832290850857506E-3</v>
      </c>
      <c r="AH9" s="23">
        <v>5.9832290850857506E-3</v>
      </c>
    </row>
    <row r="10" spans="1:34">
      <c r="A10" s="24">
        <v>6</v>
      </c>
      <c r="B10" s="25" t="s">
        <v>82</v>
      </c>
      <c r="C10" s="22" t="s">
        <v>83</v>
      </c>
      <c r="D10" s="23">
        <v>0</v>
      </c>
      <c r="E10" s="23">
        <v>5.0000000000000001E-4</v>
      </c>
      <c r="F10" s="23">
        <v>9.9974999999985492E-4</v>
      </c>
      <c r="G10" s="23">
        <v>1.4992501249998513E-3</v>
      </c>
      <c r="H10" s="23">
        <v>1.9985004999372169E-3</v>
      </c>
      <c r="I10" s="23">
        <v>2.4975012496871729E-3</v>
      </c>
      <c r="J10" s="23">
        <v>2.996252499062213E-3</v>
      </c>
      <c r="K10" s="23">
        <v>3.4947543728127695E-3</v>
      </c>
      <c r="L10" s="23">
        <v>3.9930069956262138E-3</v>
      </c>
      <c r="M10" s="23">
        <v>4.4910104921283001E-3</v>
      </c>
      <c r="N10" s="23">
        <v>4.988764986882166E-3</v>
      </c>
      <c r="O10" s="23">
        <v>5.4862706043887766E-3</v>
      </c>
      <c r="P10" s="23">
        <v>5.9835274690863693E-3</v>
      </c>
      <c r="Q10" s="23">
        <v>6.4805357053517865E-3</v>
      </c>
      <c r="R10" s="23">
        <v>6.9772954374990315E-3</v>
      </c>
      <c r="S10" s="23">
        <v>7.4738067897803795E-3</v>
      </c>
      <c r="T10" s="23">
        <v>7.4738067897803795E-3</v>
      </c>
      <c r="U10" s="23">
        <v>7.4738067897803795E-3</v>
      </c>
      <c r="V10" s="23">
        <v>7.4738067897803795E-3</v>
      </c>
      <c r="W10" s="23">
        <v>7.4738067897803795E-3</v>
      </c>
      <c r="X10" s="23">
        <v>7.4738067897803795E-3</v>
      </c>
      <c r="Y10" s="23">
        <v>7.4738067897803795E-3</v>
      </c>
      <c r="Z10" s="23">
        <v>7.4738067897803795E-3</v>
      </c>
      <c r="AA10" s="23">
        <v>7.4738067897803795E-3</v>
      </c>
      <c r="AB10" s="23">
        <v>7.4738067897803795E-3</v>
      </c>
      <c r="AC10" s="23">
        <v>7.4738067897803795E-3</v>
      </c>
      <c r="AD10" s="23">
        <v>7.4738067897803795E-3</v>
      </c>
      <c r="AE10" s="23">
        <v>7.4738067897803795E-3</v>
      </c>
      <c r="AF10" s="23">
        <v>7.4738067897803795E-3</v>
      </c>
      <c r="AG10" s="23">
        <v>7.4738067897803795E-3</v>
      </c>
      <c r="AH10" s="23">
        <v>7.4738067897803795E-3</v>
      </c>
    </row>
    <row r="11" spans="1:34">
      <c r="A11" s="24">
        <v>7</v>
      </c>
      <c r="B11" s="25" t="s">
        <v>84</v>
      </c>
      <c r="C11" s="22" t="s">
        <v>85</v>
      </c>
      <c r="D11" s="23">
        <v>0</v>
      </c>
      <c r="E11" s="23">
        <v>5.0000000000000001E-4</v>
      </c>
      <c r="F11" s="23">
        <v>9.9974999999985492E-4</v>
      </c>
      <c r="G11" s="23">
        <v>1.4992501249998513E-3</v>
      </c>
      <c r="H11" s="23">
        <v>1.9985004999372169E-3</v>
      </c>
      <c r="I11" s="23">
        <v>2.4975012496871729E-3</v>
      </c>
      <c r="J11" s="23">
        <v>2.996252499062213E-3</v>
      </c>
      <c r="K11" s="23">
        <v>3.4947543728127695E-3</v>
      </c>
      <c r="L11" s="23">
        <v>3.9930069956262138E-3</v>
      </c>
      <c r="M11" s="23">
        <v>4.4910104921283001E-3</v>
      </c>
      <c r="N11" s="23">
        <v>4.988764986882166E-3</v>
      </c>
      <c r="O11" s="23">
        <v>5.4862706043887766E-3</v>
      </c>
      <c r="P11" s="23">
        <v>5.9835274690863693E-3</v>
      </c>
      <c r="Q11" s="23">
        <v>6.4805357053517865E-3</v>
      </c>
      <c r="R11" s="23">
        <v>6.9772954374990315E-3</v>
      </c>
      <c r="S11" s="23">
        <v>7.4738067897803795E-3</v>
      </c>
      <c r="T11" s="23">
        <v>7.4738067897803795E-3</v>
      </c>
      <c r="U11" s="23">
        <v>7.4738067897803795E-3</v>
      </c>
      <c r="V11" s="23">
        <v>7.4738067897803795E-3</v>
      </c>
      <c r="W11" s="23">
        <v>7.4738067897803795E-3</v>
      </c>
      <c r="X11" s="23">
        <v>7.4738067897803795E-3</v>
      </c>
      <c r="Y11" s="23">
        <v>7.4738067897803795E-3</v>
      </c>
      <c r="Z11" s="23">
        <v>7.4738067897803795E-3</v>
      </c>
      <c r="AA11" s="23">
        <v>7.4738067897803795E-3</v>
      </c>
      <c r="AB11" s="23">
        <v>7.4738067897803795E-3</v>
      </c>
      <c r="AC11" s="23">
        <v>7.4738067897803795E-3</v>
      </c>
      <c r="AD11" s="23">
        <v>7.4738067897803795E-3</v>
      </c>
      <c r="AE11" s="23">
        <v>7.4738067897803795E-3</v>
      </c>
      <c r="AF11" s="23">
        <v>7.4738067897803795E-3</v>
      </c>
      <c r="AG11" s="23">
        <v>7.4738067897803795E-3</v>
      </c>
      <c r="AH11" s="23">
        <v>7.4738067897803795E-3</v>
      </c>
    </row>
    <row r="12" spans="1:34">
      <c r="A12" s="24">
        <v>8</v>
      </c>
      <c r="B12" s="25" t="s">
        <v>86</v>
      </c>
      <c r="C12" s="22" t="s">
        <v>87</v>
      </c>
      <c r="D12" s="23">
        <v>0</v>
      </c>
      <c r="E12" s="23">
        <v>8.9999999999999998E-4</v>
      </c>
      <c r="F12" s="23">
        <v>1.7991900000000616E-3</v>
      </c>
      <c r="G12" s="23">
        <v>2.6975707290001205E-3</v>
      </c>
      <c r="H12" s="23">
        <v>3.5951429153440184E-3</v>
      </c>
      <c r="I12" s="23">
        <v>4.4919072867202203E-3</v>
      </c>
      <c r="J12" s="23">
        <v>5.3878645701622707E-3</v>
      </c>
      <c r="K12" s="23">
        <v>6.2830154920491266E-3</v>
      </c>
      <c r="L12" s="23">
        <v>7.1773607781062676E-3</v>
      </c>
      <c r="M12" s="23">
        <v>8.0709011534060293E-3</v>
      </c>
      <c r="N12" s="23">
        <v>8.9636373423679361E-3</v>
      </c>
      <c r="O12" s="23">
        <v>9.8555700687599224E-3</v>
      </c>
      <c r="P12" s="23">
        <v>1.0746700055698E-2</v>
      </c>
      <c r="Q12" s="23">
        <v>1.1637028025647922E-2</v>
      </c>
      <c r="R12" s="23">
        <v>1.2526554700424852E-2</v>
      </c>
      <c r="S12" s="23">
        <v>1.3415280801194474E-2</v>
      </c>
      <c r="T12" s="23">
        <v>1.3415280801194474E-2</v>
      </c>
      <c r="U12" s="23">
        <v>1.3415280801194474E-2</v>
      </c>
      <c r="V12" s="23">
        <v>1.3415280801194474E-2</v>
      </c>
      <c r="W12" s="23">
        <v>1.3415280801194474E-2</v>
      </c>
      <c r="X12" s="23">
        <v>1.3415280801194474E-2</v>
      </c>
      <c r="Y12" s="23">
        <v>1.3415280801194474E-2</v>
      </c>
      <c r="Z12" s="23">
        <v>1.3415280801194474E-2</v>
      </c>
      <c r="AA12" s="23">
        <v>1.3415280801194474E-2</v>
      </c>
      <c r="AB12" s="23">
        <v>1.3415280801194474E-2</v>
      </c>
      <c r="AC12" s="23">
        <v>1.3415280801194474E-2</v>
      </c>
      <c r="AD12" s="23">
        <v>1.3415280801194474E-2</v>
      </c>
      <c r="AE12" s="23">
        <v>1.3415280801194474E-2</v>
      </c>
      <c r="AF12" s="23">
        <v>1.3415280801194474E-2</v>
      </c>
      <c r="AG12" s="23">
        <v>1.3415280801194474E-2</v>
      </c>
      <c r="AH12" s="23">
        <v>1.3415280801194474E-2</v>
      </c>
    </row>
    <row r="13" spans="1:34">
      <c r="A13" s="24">
        <v>9</v>
      </c>
      <c r="B13" s="25" t="s">
        <v>88</v>
      </c>
      <c r="C13" s="22" t="s">
        <v>89</v>
      </c>
      <c r="D13" s="23">
        <v>0</v>
      </c>
      <c r="E13" s="23">
        <v>1.4000000000000002E-3</v>
      </c>
      <c r="F13" s="23">
        <v>2.7980399999999461E-3</v>
      </c>
      <c r="G13" s="23">
        <v>4.1941227439998841E-3</v>
      </c>
      <c r="H13" s="23">
        <v>5.5882509721583151E-3</v>
      </c>
      <c r="I13" s="23">
        <v>6.9804274207972972E-3</v>
      </c>
      <c r="J13" s="23">
        <v>8.3706548224081745E-3</v>
      </c>
      <c r="K13" s="23">
        <v>9.7589359056566849E-3</v>
      </c>
      <c r="L13" s="23">
        <v>1.1145273395388844E-2</v>
      </c>
      <c r="M13" s="23">
        <v>1.2529670012635274E-2</v>
      </c>
      <c r="N13" s="23">
        <v>1.3912128474617536E-2</v>
      </c>
      <c r="O13" s="23">
        <v>1.5292651494753007E-2</v>
      </c>
      <c r="P13" s="23">
        <v>1.667124178266044E-2</v>
      </c>
      <c r="Q13" s="23">
        <v>1.8047902044164732E-2</v>
      </c>
      <c r="R13" s="23">
        <v>1.9422634981302811E-2</v>
      </c>
      <c r="S13" s="23">
        <v>2.0795443292328963E-2</v>
      </c>
      <c r="T13" s="23">
        <v>2.0795443292328963E-2</v>
      </c>
      <c r="U13" s="23">
        <v>2.0795443292328963E-2</v>
      </c>
      <c r="V13" s="23">
        <v>2.0795443292328963E-2</v>
      </c>
      <c r="W13" s="23">
        <v>2.0795443292328963E-2</v>
      </c>
      <c r="X13" s="23">
        <v>2.0795443292328963E-2</v>
      </c>
      <c r="Y13" s="23">
        <v>2.0795443292328963E-2</v>
      </c>
      <c r="Z13" s="23">
        <v>2.0795443292328963E-2</v>
      </c>
      <c r="AA13" s="23">
        <v>2.0795443292328963E-2</v>
      </c>
      <c r="AB13" s="23">
        <v>2.0795443292328963E-2</v>
      </c>
      <c r="AC13" s="23">
        <v>2.0795443292328963E-2</v>
      </c>
      <c r="AD13" s="23">
        <v>2.0795443292328963E-2</v>
      </c>
      <c r="AE13" s="23">
        <v>2.0795443292328963E-2</v>
      </c>
      <c r="AF13" s="23">
        <v>2.0795443292328963E-2</v>
      </c>
      <c r="AG13" s="23">
        <v>2.0795443292328963E-2</v>
      </c>
      <c r="AH13" s="23">
        <v>2.0795443292328963E-2</v>
      </c>
    </row>
    <row r="14" spans="1:34">
      <c r="A14" s="24">
        <v>10</v>
      </c>
      <c r="B14" s="25" t="s">
        <v>90</v>
      </c>
      <c r="C14" s="22" t="s">
        <v>91</v>
      </c>
      <c r="D14" s="23">
        <v>0</v>
      </c>
      <c r="E14" s="23">
        <v>2.0999999999999999E-3</v>
      </c>
      <c r="F14" s="23">
        <v>4.1955900000000268E-3</v>
      </c>
      <c r="G14" s="23">
        <v>6.286779260999964E-3</v>
      </c>
      <c r="H14" s="23">
        <v>8.3735770245519925E-3</v>
      </c>
      <c r="I14" s="23">
        <v>1.0455992512800383E-2</v>
      </c>
      <c r="J14" s="23">
        <v>1.2534034928523563E-2</v>
      </c>
      <c r="K14" s="23">
        <v>1.4607713455173643E-2</v>
      </c>
      <c r="L14" s="23">
        <v>1.6677037256917826E-2</v>
      </c>
      <c r="M14" s="23">
        <v>1.8742015478678264E-2</v>
      </c>
      <c r="N14" s="23">
        <v>2.080265724617314E-2</v>
      </c>
      <c r="O14" s="23">
        <v>2.2858971665956074E-2</v>
      </c>
      <c r="P14" s="23">
        <v>2.4910967825457653E-2</v>
      </c>
      <c r="Q14" s="23">
        <v>2.6958654793024173E-2</v>
      </c>
      <c r="R14" s="23">
        <v>2.900204161795894E-2</v>
      </c>
      <c r="S14" s="23">
        <v>3.104113733056113E-2</v>
      </c>
      <c r="T14" s="23">
        <v>3.104113733056113E-2</v>
      </c>
      <c r="U14" s="23">
        <v>3.104113733056113E-2</v>
      </c>
      <c r="V14" s="23">
        <v>3.104113733056113E-2</v>
      </c>
      <c r="W14" s="23">
        <v>3.104113733056113E-2</v>
      </c>
      <c r="X14" s="23">
        <v>3.104113733056113E-2</v>
      </c>
      <c r="Y14" s="23">
        <v>3.104113733056113E-2</v>
      </c>
      <c r="Z14" s="23">
        <v>3.104113733056113E-2</v>
      </c>
      <c r="AA14" s="23">
        <v>3.104113733056113E-2</v>
      </c>
      <c r="AB14" s="23">
        <v>3.104113733056113E-2</v>
      </c>
      <c r="AC14" s="23">
        <v>3.104113733056113E-2</v>
      </c>
      <c r="AD14" s="23">
        <v>3.104113733056113E-2</v>
      </c>
      <c r="AE14" s="23">
        <v>3.104113733056113E-2</v>
      </c>
      <c r="AF14" s="23">
        <v>3.104113733056113E-2</v>
      </c>
      <c r="AG14" s="23">
        <v>3.104113733056113E-2</v>
      </c>
      <c r="AH14" s="23">
        <v>3.104113733056113E-2</v>
      </c>
    </row>
    <row r="15" spans="1:34">
      <c r="A15" s="24">
        <v>11</v>
      </c>
      <c r="B15" s="25" t="s">
        <v>92</v>
      </c>
      <c r="C15" s="22" t="s">
        <v>93</v>
      </c>
      <c r="D15" s="23">
        <v>0</v>
      </c>
      <c r="E15" s="23">
        <v>2.8000000000000004E-3</v>
      </c>
      <c r="F15" s="23">
        <v>5.5921600000000682E-3</v>
      </c>
      <c r="G15" s="23">
        <v>8.376501952000126E-3</v>
      </c>
      <c r="H15" s="23">
        <v>1.1153047746534583E-2</v>
      </c>
      <c r="I15" s="23">
        <v>1.39218192128443E-2</v>
      </c>
      <c r="J15" s="23">
        <v>1.668283811904836E-2</v>
      </c>
      <c r="K15" s="23">
        <v>1.943612617231516E-2</v>
      </c>
      <c r="L15" s="23">
        <v>2.2181705019032716E-2</v>
      </c>
      <c r="M15" s="23">
        <v>2.4919596244979414E-2</v>
      </c>
      <c r="N15" s="23">
        <v>2.7649821375493544E-2</v>
      </c>
      <c r="O15" s="23">
        <v>3.0372401875642274E-2</v>
      </c>
      <c r="P15" s="23">
        <v>3.3087359150390516E-2</v>
      </c>
      <c r="Q15" s="23">
        <v>3.5794714544769346E-2</v>
      </c>
      <c r="R15" s="23">
        <v>3.8494489344044092E-2</v>
      </c>
      <c r="S15" s="23">
        <v>4.1186704773880867E-2</v>
      </c>
      <c r="T15" s="23">
        <v>4.1186704773880867E-2</v>
      </c>
      <c r="U15" s="23">
        <v>4.1186704773880867E-2</v>
      </c>
      <c r="V15" s="23">
        <v>4.1186704773880867E-2</v>
      </c>
      <c r="W15" s="23">
        <v>4.1186704773880867E-2</v>
      </c>
      <c r="X15" s="23">
        <v>4.1186704773880867E-2</v>
      </c>
      <c r="Y15" s="23">
        <v>4.1186704773880867E-2</v>
      </c>
      <c r="Z15" s="23">
        <v>4.1186704773880867E-2</v>
      </c>
      <c r="AA15" s="23">
        <v>4.1186704773880867E-2</v>
      </c>
      <c r="AB15" s="23">
        <v>4.1186704773880867E-2</v>
      </c>
      <c r="AC15" s="23">
        <v>4.1186704773880867E-2</v>
      </c>
      <c r="AD15" s="23">
        <v>4.1186704773880867E-2</v>
      </c>
      <c r="AE15" s="23">
        <v>4.1186704773880867E-2</v>
      </c>
      <c r="AF15" s="23">
        <v>4.1186704773880867E-2</v>
      </c>
      <c r="AG15" s="23">
        <v>4.1186704773880867E-2</v>
      </c>
      <c r="AH15" s="23">
        <v>4.1186704773880867E-2</v>
      </c>
    </row>
    <row r="16" spans="1:34">
      <c r="A16" s="24">
        <v>12</v>
      </c>
      <c r="B16" s="25" t="s">
        <v>94</v>
      </c>
      <c r="C16" s="22" t="s">
        <v>95</v>
      </c>
      <c r="D16" s="23">
        <v>0</v>
      </c>
      <c r="E16" s="23">
        <v>4.5000000000000005E-3</v>
      </c>
      <c r="F16" s="23">
        <v>8.979749999999842E-3</v>
      </c>
      <c r="G16" s="23">
        <v>1.3439341124999782E-2</v>
      </c>
      <c r="H16" s="23">
        <v>1.7878864089937219E-2</v>
      </c>
      <c r="I16" s="23">
        <v>2.2298409201532476E-2</v>
      </c>
      <c r="J16" s="23">
        <v>2.6698066360125505E-2</v>
      </c>
      <c r="K16" s="23">
        <v>3.1077925061504863E-2</v>
      </c>
      <c r="L16" s="23">
        <v>3.5438074398728037E-2</v>
      </c>
      <c r="M16" s="23">
        <v>3.977860306393366E-2</v>
      </c>
      <c r="N16" s="23">
        <v>4.4099599350145957E-2</v>
      </c>
      <c r="O16" s="23">
        <v>4.8401151153070199E-2</v>
      </c>
      <c r="P16" s="23">
        <v>5.2683345972881268E-2</v>
      </c>
      <c r="Q16" s="23">
        <v>5.694627091600335E-2</v>
      </c>
      <c r="R16" s="23">
        <v>6.1190012696881291E-2</v>
      </c>
      <c r="S16" s="23">
        <v>6.5414657639745188E-2</v>
      </c>
      <c r="T16" s="23">
        <v>6.5414657639745188E-2</v>
      </c>
      <c r="U16" s="23">
        <v>6.5414657639745188E-2</v>
      </c>
      <c r="V16" s="23">
        <v>6.5414657639745188E-2</v>
      </c>
      <c r="W16" s="23">
        <v>6.5414657639745188E-2</v>
      </c>
      <c r="X16" s="23">
        <v>6.5414657639745188E-2</v>
      </c>
      <c r="Y16" s="23">
        <v>6.5414657639745188E-2</v>
      </c>
      <c r="Z16" s="23">
        <v>6.5414657639745188E-2</v>
      </c>
      <c r="AA16" s="23">
        <v>6.5414657639745188E-2</v>
      </c>
      <c r="AB16" s="23">
        <v>6.5414657639745188E-2</v>
      </c>
      <c r="AC16" s="23">
        <v>6.5414657639745188E-2</v>
      </c>
      <c r="AD16" s="23">
        <v>6.5414657639745188E-2</v>
      </c>
      <c r="AE16" s="23">
        <v>6.5414657639745188E-2</v>
      </c>
      <c r="AF16" s="23">
        <v>6.5414657639745188E-2</v>
      </c>
      <c r="AG16" s="23">
        <v>6.5414657639745188E-2</v>
      </c>
      <c r="AH16" s="23">
        <v>6.5414657639745188E-2</v>
      </c>
    </row>
    <row r="17" spans="1:34">
      <c r="A17" s="24">
        <v>13</v>
      </c>
      <c r="B17" s="25" t="s">
        <v>96</v>
      </c>
      <c r="C17" s="22" t="s">
        <v>97</v>
      </c>
      <c r="D17" s="23">
        <v>0</v>
      </c>
      <c r="E17" s="23">
        <v>8.8000000000000005E-3</v>
      </c>
      <c r="F17" s="23">
        <v>1.7522560000000076E-2</v>
      </c>
      <c r="G17" s="23">
        <v>2.6168361472000079E-2</v>
      </c>
      <c r="H17" s="23">
        <v>3.4738079891046603E-2</v>
      </c>
      <c r="I17" s="23">
        <v>4.3232384788005396E-2</v>
      </c>
      <c r="J17" s="23">
        <v>5.1651939801870994E-2</v>
      </c>
      <c r="K17" s="23">
        <v>5.999740273161458E-2</v>
      </c>
      <c r="L17" s="23">
        <v>6.8269425587576427E-2</v>
      </c>
      <c r="M17" s="23">
        <v>7.646865464240582E-2</v>
      </c>
      <c r="N17" s="23">
        <v>8.4595730481552667E-2</v>
      </c>
      <c r="O17" s="23">
        <v>9.2651288053315017E-2</v>
      </c>
      <c r="P17" s="23">
        <v>0.10063595671844594</v>
      </c>
      <c r="Q17" s="23">
        <v>0.10855036029932363</v>
      </c>
      <c r="R17" s="23">
        <v>0.11639511712868966</v>
      </c>
      <c r="S17" s="23">
        <v>0.1241708400979572</v>
      </c>
      <c r="T17" s="23">
        <v>0.1241708400979572</v>
      </c>
      <c r="U17" s="23">
        <v>0.1241708400979572</v>
      </c>
      <c r="V17" s="23">
        <v>0.1241708400979572</v>
      </c>
      <c r="W17" s="23">
        <v>0.1241708400979572</v>
      </c>
      <c r="X17" s="23">
        <v>0.1241708400979572</v>
      </c>
      <c r="Y17" s="23">
        <v>0.1241708400979572</v>
      </c>
      <c r="Z17" s="23">
        <v>0.1241708400979572</v>
      </c>
      <c r="AA17" s="23">
        <v>0.1241708400979572</v>
      </c>
      <c r="AB17" s="23">
        <v>0.1241708400979572</v>
      </c>
      <c r="AC17" s="23">
        <v>0.1241708400979572</v>
      </c>
      <c r="AD17" s="23">
        <v>0.1241708400979572</v>
      </c>
      <c r="AE17" s="23">
        <v>0.1241708400979572</v>
      </c>
      <c r="AF17" s="23">
        <v>0.1241708400979572</v>
      </c>
      <c r="AG17" s="23">
        <v>0.1241708400979572</v>
      </c>
      <c r="AH17" s="23">
        <v>0.1241708400979572</v>
      </c>
    </row>
    <row r="18" spans="1:34">
      <c r="A18" s="24">
        <v>14</v>
      </c>
      <c r="B18" s="25" t="s">
        <v>98</v>
      </c>
      <c r="C18" s="22" t="s">
        <v>99</v>
      </c>
      <c r="D18" s="23">
        <v>0</v>
      </c>
      <c r="E18" s="23">
        <v>1.8600000000000002E-2</v>
      </c>
      <c r="F18" s="23">
        <v>3.6854039999999921E-2</v>
      </c>
      <c r="G18" s="23">
        <v>5.4768554855999851E-2</v>
      </c>
      <c r="H18" s="23">
        <v>7.2349859735678201E-2</v>
      </c>
      <c r="I18" s="23">
        <v>8.9604152344594512E-2</v>
      </c>
      <c r="J18" s="23">
        <v>0.10653751511098508</v>
      </c>
      <c r="K18" s="23">
        <v>0.12315591732992071</v>
      </c>
      <c r="L18" s="23">
        <v>0.1394652172675841</v>
      </c>
      <c r="M18" s="23">
        <v>0.15547116422640694</v>
      </c>
      <c r="N18" s="23">
        <v>0.17117940057179581</v>
      </c>
      <c r="O18" s="23">
        <v>0.18659546372116032</v>
      </c>
      <c r="P18" s="23">
        <v>0.20172478809594674</v>
      </c>
      <c r="Q18" s="23">
        <v>0.21657270703736198</v>
      </c>
      <c r="R18" s="23">
        <v>0.23114445468646716</v>
      </c>
      <c r="S18" s="23">
        <v>0.24544516782929882</v>
      </c>
      <c r="T18" s="23">
        <v>0.24544516782929882</v>
      </c>
      <c r="U18" s="23">
        <v>0.24544516782929882</v>
      </c>
      <c r="V18" s="23">
        <v>0.24544516782929882</v>
      </c>
      <c r="W18" s="23">
        <v>0.24544516782929882</v>
      </c>
      <c r="X18" s="23">
        <v>0.24544516782929882</v>
      </c>
      <c r="Y18" s="23">
        <v>0.24544516782929882</v>
      </c>
      <c r="Z18" s="23">
        <v>0.24544516782929882</v>
      </c>
      <c r="AA18" s="23">
        <v>0.24544516782929882</v>
      </c>
      <c r="AB18" s="23">
        <v>0.24544516782929882</v>
      </c>
      <c r="AC18" s="23">
        <v>0.24544516782929882</v>
      </c>
      <c r="AD18" s="23">
        <v>0.24544516782929882</v>
      </c>
      <c r="AE18" s="23">
        <v>0.24544516782929882</v>
      </c>
      <c r="AF18" s="23">
        <v>0.24544516782929882</v>
      </c>
      <c r="AG18" s="23">
        <v>0.24544516782929882</v>
      </c>
      <c r="AH18" s="23">
        <v>0.24544516782929882</v>
      </c>
    </row>
    <row r="19" spans="1:34">
      <c r="A19" s="24">
        <v>15</v>
      </c>
      <c r="B19" s="25" t="s">
        <v>100</v>
      </c>
      <c r="C19" s="22" t="s">
        <v>101</v>
      </c>
      <c r="D19" s="23">
        <v>0</v>
      </c>
      <c r="E19" s="23">
        <v>2.7300000000000001E-2</v>
      </c>
      <c r="F19" s="23">
        <v>5.3854709999999972E-2</v>
      </c>
      <c r="G19" s="23">
        <v>7.9684476416999939E-2</v>
      </c>
      <c r="H19" s="23">
        <v>0.10480909021081586</v>
      </c>
      <c r="I19" s="23">
        <v>0.12924780204806052</v>
      </c>
      <c r="J19" s="23">
        <v>0.15301933705214854</v>
      </c>
      <c r="K19" s="23">
        <v>0.17614190915062478</v>
      </c>
      <c r="L19" s="23">
        <v>0.19863323503081276</v>
      </c>
      <c r="M19" s="23">
        <v>0.22051054771447154</v>
      </c>
      <c r="N19" s="23">
        <v>0.2417906097618665</v>
      </c>
      <c r="O19" s="23">
        <v>0.26248972611536747</v>
      </c>
      <c r="P19" s="23">
        <v>0.28262375659241801</v>
      </c>
      <c r="Q19" s="23">
        <v>0.3022081280374449</v>
      </c>
      <c r="R19" s="23">
        <v>0.32125784614202268</v>
      </c>
      <c r="S19" s="23">
        <v>0.33978750694234539</v>
      </c>
      <c r="T19" s="23">
        <v>0.33978750694234539</v>
      </c>
      <c r="U19" s="23">
        <v>0.33978750694234539</v>
      </c>
      <c r="V19" s="23">
        <v>0.33978750694234539</v>
      </c>
      <c r="W19" s="23">
        <v>0.33978750694234539</v>
      </c>
      <c r="X19" s="23">
        <v>0.33978750694234539</v>
      </c>
      <c r="Y19" s="23">
        <v>0.33978750694234539</v>
      </c>
      <c r="Z19" s="23">
        <v>0.33978750694234539</v>
      </c>
      <c r="AA19" s="23">
        <v>0.33978750694234539</v>
      </c>
      <c r="AB19" s="23">
        <v>0.33978750694234539</v>
      </c>
      <c r="AC19" s="23">
        <v>0.33978750694234539</v>
      </c>
      <c r="AD19" s="23">
        <v>0.33978750694234539</v>
      </c>
      <c r="AE19" s="23">
        <v>0.33978750694234539</v>
      </c>
      <c r="AF19" s="23">
        <v>0.33978750694234539</v>
      </c>
      <c r="AG19" s="23">
        <v>0.33978750694234539</v>
      </c>
      <c r="AH19" s="23">
        <v>0.33978750694234539</v>
      </c>
    </row>
    <row r="20" spans="1:34">
      <c r="A20" s="24">
        <v>16</v>
      </c>
      <c r="B20" s="25" t="s">
        <v>102</v>
      </c>
      <c r="C20" s="22" t="s">
        <v>103</v>
      </c>
      <c r="D20" s="23">
        <v>0</v>
      </c>
      <c r="E20" s="23">
        <v>5.33E-2</v>
      </c>
      <c r="F20" s="23">
        <v>0.10375911000000004</v>
      </c>
      <c r="G20" s="23">
        <v>0.15152874943700001</v>
      </c>
      <c r="H20" s="23">
        <v>0.19675226709200799</v>
      </c>
      <c r="I20" s="23">
        <v>0.23956537125600397</v>
      </c>
      <c r="J20" s="23">
        <v>0.28009653696805903</v>
      </c>
      <c r="K20" s="23">
        <v>0.31846739154766146</v>
      </c>
      <c r="L20" s="23">
        <v>0.35479307957817119</v>
      </c>
      <c r="M20" s="23">
        <v>0.38918260843665464</v>
      </c>
      <c r="N20" s="23">
        <v>0.42173917540698103</v>
      </c>
      <c r="O20" s="23">
        <v>0.45256047735778893</v>
      </c>
      <c r="P20" s="23">
        <v>0.48173900391461877</v>
      </c>
      <c r="Q20" s="23">
        <v>0.50936231500596962</v>
      </c>
      <c r="R20" s="23">
        <v>0.53551330361615146</v>
      </c>
      <c r="S20" s="23">
        <v>0.56027044453341057</v>
      </c>
      <c r="T20" s="23">
        <v>0.56027044453341057</v>
      </c>
      <c r="U20" s="23">
        <v>0.56027044453341057</v>
      </c>
      <c r="V20" s="23">
        <v>0.56027044453341057</v>
      </c>
      <c r="W20" s="23">
        <v>0.56027044453341057</v>
      </c>
      <c r="X20" s="23">
        <v>0.56027044453341057</v>
      </c>
      <c r="Y20" s="23">
        <v>0.56027044453341057</v>
      </c>
      <c r="Z20" s="23">
        <v>0.56027044453341057</v>
      </c>
      <c r="AA20" s="23">
        <v>0.56027044453341057</v>
      </c>
      <c r="AB20" s="23">
        <v>0.56027044453341057</v>
      </c>
      <c r="AC20" s="23">
        <v>0.56027044453341057</v>
      </c>
      <c r="AD20" s="23">
        <v>0.56027044453341057</v>
      </c>
      <c r="AE20" s="23">
        <v>0.56027044453341057</v>
      </c>
      <c r="AF20" s="23">
        <v>0.56027044453341057</v>
      </c>
      <c r="AG20" s="23">
        <v>0.56027044453341057</v>
      </c>
      <c r="AH20" s="23">
        <v>0.56027044453341057</v>
      </c>
    </row>
    <row r="21" spans="1:34">
      <c r="A21" s="24">
        <v>17</v>
      </c>
      <c r="B21" s="25" t="s">
        <v>104</v>
      </c>
      <c r="C21" s="22" t="s">
        <v>105</v>
      </c>
      <c r="D21" s="23">
        <v>0</v>
      </c>
      <c r="E21" s="23">
        <v>0.25980000000000003</v>
      </c>
      <c r="F21" s="23">
        <v>0.45210396000000008</v>
      </c>
      <c r="G21" s="23">
        <v>0.5944473511920001</v>
      </c>
      <c r="H21" s="23">
        <v>0.69980992935231856</v>
      </c>
      <c r="I21" s="23">
        <v>0.77779930970658617</v>
      </c>
      <c r="J21" s="23">
        <v>0.83552704904481512</v>
      </c>
      <c r="K21" s="23">
        <v>0.8782571217029721</v>
      </c>
      <c r="L21" s="23">
        <v>0.90988592148453995</v>
      </c>
      <c r="M21" s="23">
        <v>0.9332975590828565</v>
      </c>
      <c r="N21" s="23">
        <v>0.95062685323313034</v>
      </c>
      <c r="O21" s="23">
        <v>0.96345399676316312</v>
      </c>
      <c r="P21" s="23">
        <v>0.97294864840409334</v>
      </c>
      <c r="Q21" s="23">
        <v>0.97997658954870992</v>
      </c>
      <c r="R21" s="23">
        <v>0.98517867158395511</v>
      </c>
      <c r="S21" s="23">
        <v>0.98902925270644348</v>
      </c>
      <c r="T21" s="23">
        <v>0.98902925270644348</v>
      </c>
      <c r="U21" s="23">
        <v>0.98902925270644348</v>
      </c>
      <c r="V21" s="23">
        <v>0.98902925270644348</v>
      </c>
      <c r="W21" s="23">
        <v>0.98902925270644348</v>
      </c>
      <c r="X21" s="23">
        <v>0.98902925270644348</v>
      </c>
      <c r="Y21" s="23">
        <v>0.98902925270644348</v>
      </c>
      <c r="Z21" s="23">
        <v>0.98902925270644348</v>
      </c>
      <c r="AA21" s="23">
        <v>0.98902925270644348</v>
      </c>
      <c r="AB21" s="23">
        <v>0.98902925270644348</v>
      </c>
      <c r="AC21" s="23">
        <v>0.98902925270644348</v>
      </c>
      <c r="AD21" s="23">
        <v>0.98902925270644348</v>
      </c>
      <c r="AE21" s="23">
        <v>0.98902925270644348</v>
      </c>
      <c r="AF21" s="23">
        <v>0.98902925270644348</v>
      </c>
      <c r="AG21" s="23">
        <v>0.98902925270644348</v>
      </c>
      <c r="AH21" s="23">
        <v>0.98902925270644348</v>
      </c>
    </row>
    <row r="22" spans="1:34">
      <c r="A22" s="24">
        <v>18</v>
      </c>
      <c r="B22" s="25" t="s">
        <v>106</v>
      </c>
      <c r="C22" s="22" t="s">
        <v>107</v>
      </c>
      <c r="D22" s="23">
        <v>1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</row>
    <row r="23" spans="1:34">
      <c r="A23" s="24">
        <v>19</v>
      </c>
      <c r="B23" s="25" t="s">
        <v>108</v>
      </c>
      <c r="C23" s="22" t="s">
        <v>109</v>
      </c>
      <c r="D23" s="23">
        <v>0</v>
      </c>
      <c r="E23" s="23">
        <v>3.5200000000000002E-2</v>
      </c>
      <c r="F23" s="23">
        <v>6.7699999999999996E-2</v>
      </c>
      <c r="G23" s="23">
        <v>9.5600000000000004E-2</v>
      </c>
      <c r="H23" s="23">
        <v>0.1183</v>
      </c>
      <c r="I23" s="23">
        <v>0.13700000000000001</v>
      </c>
      <c r="J23" s="23">
        <v>0.1522</v>
      </c>
      <c r="K23" s="23">
        <v>0.1646</v>
      </c>
      <c r="L23" s="23">
        <v>0.17499999999999999</v>
      </c>
      <c r="M23" s="23">
        <v>0.1842</v>
      </c>
      <c r="N23" s="23">
        <v>0.19270000000000001</v>
      </c>
      <c r="O23" s="23">
        <v>0.19980000000000001</v>
      </c>
      <c r="P23" s="23">
        <v>0.20580000000000001</v>
      </c>
      <c r="Q23" s="23">
        <v>0.2114</v>
      </c>
      <c r="R23" s="23">
        <v>0.21640000000000001</v>
      </c>
      <c r="S23" s="23">
        <v>0.22120000000000001</v>
      </c>
      <c r="T23" s="23">
        <v>0.22120000000000001</v>
      </c>
      <c r="U23" s="23">
        <v>0.22120000000000001</v>
      </c>
      <c r="V23" s="23">
        <v>0.22120000000000001</v>
      </c>
      <c r="W23" s="23">
        <v>0.22120000000000001</v>
      </c>
      <c r="X23" s="23">
        <v>0.22120000000000001</v>
      </c>
      <c r="Y23" s="23">
        <v>0.22120000000000001</v>
      </c>
      <c r="Z23" s="23">
        <v>0.22120000000000001</v>
      </c>
      <c r="AA23" s="23">
        <v>0.22120000000000001</v>
      </c>
      <c r="AB23" s="23">
        <v>0.22120000000000001</v>
      </c>
      <c r="AC23" s="23">
        <v>0.22120000000000001</v>
      </c>
      <c r="AD23" s="23">
        <v>0.22120000000000001</v>
      </c>
      <c r="AE23" s="23">
        <v>0.22120000000000001</v>
      </c>
      <c r="AF23" s="23">
        <v>0.22120000000000001</v>
      </c>
      <c r="AG23" s="23">
        <v>0.22120000000000001</v>
      </c>
      <c r="AH23" s="23">
        <v>0.22120000000000001</v>
      </c>
    </row>
    <row r="24" spans="1:34">
      <c r="A24" s="26">
        <v>20</v>
      </c>
      <c r="B24" s="27" t="s">
        <v>110</v>
      </c>
      <c r="C24" s="27" t="s">
        <v>111</v>
      </c>
      <c r="D24" s="28">
        <v>0</v>
      </c>
      <c r="E24" s="28">
        <v>3.417925099750721E-4</v>
      </c>
      <c r="F24" s="28">
        <v>6.8346819783038359E-4</v>
      </c>
      <c r="G24" s="28">
        <v>1.0250271034947245E-3</v>
      </c>
      <c r="H24" s="28">
        <v>1.36646926688333E-3</v>
      </c>
      <c r="I24" s="28">
        <v>1.7077947278979488E-3</v>
      </c>
      <c r="J24" s="28">
        <v>2.0490035264264517E-3</v>
      </c>
      <c r="K24" s="28">
        <v>2.3900957023433866E-3</v>
      </c>
      <c r="L24" s="28">
        <v>2.731071295509313E-3</v>
      </c>
      <c r="M24" s="28">
        <v>3.0719303457714675E-3</v>
      </c>
      <c r="N24" s="28">
        <v>3.4126728929632089E-3</v>
      </c>
      <c r="O24" s="28">
        <v>3.7532989769045733E-3</v>
      </c>
      <c r="P24" s="28">
        <v>4.0938086374016081E-3</v>
      </c>
      <c r="Q24" s="28">
        <v>4.43420191424726E-3</v>
      </c>
      <c r="R24" s="28">
        <v>4.7744788472203759E-3</v>
      </c>
      <c r="S24" s="28">
        <v>5.11463947608648E-3</v>
      </c>
      <c r="T24" s="28">
        <v>5.11463947608648E-3</v>
      </c>
      <c r="U24" s="28">
        <v>5.11463947608648E-3</v>
      </c>
      <c r="V24" s="28">
        <v>5.11463947608648E-3</v>
      </c>
      <c r="W24" s="28">
        <v>5.11463947608648E-3</v>
      </c>
      <c r="X24" s="28">
        <v>5.11463947608648E-3</v>
      </c>
      <c r="Y24" s="28">
        <v>5.11463947608648E-3</v>
      </c>
      <c r="Z24" s="28">
        <v>5.11463947608648E-3</v>
      </c>
      <c r="AA24" s="28">
        <v>5.11463947608648E-3</v>
      </c>
      <c r="AB24" s="28">
        <v>5.11463947608648E-3</v>
      </c>
      <c r="AC24" s="28">
        <v>5.11463947608648E-3</v>
      </c>
      <c r="AD24" s="28">
        <v>5.11463947608648E-3</v>
      </c>
      <c r="AE24" s="28">
        <v>5.11463947608648E-3</v>
      </c>
      <c r="AF24" s="28">
        <v>5.11463947608648E-3</v>
      </c>
      <c r="AG24" s="28">
        <v>5.11463947608648E-3</v>
      </c>
      <c r="AH24" s="28">
        <v>5.11463947608648E-3</v>
      </c>
    </row>
    <row r="25" spans="1:34">
      <c r="A25" s="26">
        <v>21</v>
      </c>
      <c r="B25" s="29" t="s">
        <v>112</v>
      </c>
      <c r="C25" s="27" t="s">
        <v>113</v>
      </c>
      <c r="D25" s="28">
        <v>0</v>
      </c>
      <c r="E25" s="28">
        <v>4.2732224216254333E-4</v>
      </c>
      <c r="F25" s="28">
        <v>8.5446188002646917E-4</v>
      </c>
      <c r="G25" s="28">
        <v>1.281418991622596E-3</v>
      </c>
      <c r="H25" s="28">
        <v>1.7081936549485643E-3</v>
      </c>
      <c r="I25" s="28">
        <v>2.1347859479684539E-3</v>
      </c>
      <c r="J25" s="28">
        <v>2.5611959486131486E-3</v>
      </c>
      <c r="K25" s="28">
        <v>2.9874237347803367E-3</v>
      </c>
      <c r="L25" s="28">
        <v>3.4134693843342889E-3</v>
      </c>
      <c r="M25" s="28">
        <v>3.839332975105969E-3</v>
      </c>
      <c r="N25" s="28">
        <v>4.2650145848932564E-3</v>
      </c>
      <c r="O25" s="28">
        <v>4.6905142914605014E-3</v>
      </c>
      <c r="P25" s="28">
        <v>5.115832172539192E-3</v>
      </c>
      <c r="Q25" s="28">
        <v>5.5409683058272874E-3</v>
      </c>
      <c r="R25" s="28">
        <v>5.9659227689895511E-3</v>
      </c>
      <c r="S25" s="28">
        <v>6.390695639657884E-3</v>
      </c>
      <c r="T25" s="28">
        <v>6.390695639657884E-3</v>
      </c>
      <c r="U25" s="28">
        <v>6.390695639657884E-3</v>
      </c>
      <c r="V25" s="28">
        <v>6.390695639657884E-3</v>
      </c>
      <c r="W25" s="28">
        <v>6.390695639657884E-3</v>
      </c>
      <c r="X25" s="28">
        <v>6.390695639657884E-3</v>
      </c>
      <c r="Y25" s="28">
        <v>6.390695639657884E-3</v>
      </c>
      <c r="Z25" s="28">
        <v>6.390695639657884E-3</v>
      </c>
      <c r="AA25" s="28">
        <v>6.390695639657884E-3</v>
      </c>
      <c r="AB25" s="28">
        <v>6.390695639657884E-3</v>
      </c>
      <c r="AC25" s="28">
        <v>6.390695639657884E-3</v>
      </c>
      <c r="AD25" s="28">
        <v>6.390695639657884E-3</v>
      </c>
      <c r="AE25" s="28">
        <v>6.390695639657884E-3</v>
      </c>
      <c r="AF25" s="28">
        <v>6.390695639657884E-3</v>
      </c>
      <c r="AG25" s="28">
        <v>6.390695639657884E-3</v>
      </c>
      <c r="AH25" s="28">
        <v>6.390695639657884E-3</v>
      </c>
    </row>
    <row r="26" spans="1:34">
      <c r="A26" s="26">
        <v>22</v>
      </c>
      <c r="B26" s="29" t="s">
        <v>114</v>
      </c>
      <c r="C26" s="27" t="s">
        <v>115</v>
      </c>
      <c r="D26" s="28">
        <v>0</v>
      </c>
      <c r="E26" s="28">
        <v>5.3424338981122236E-4</v>
      </c>
      <c r="F26" s="28">
        <v>1.0682013636228449E-3</v>
      </c>
      <c r="G26" s="28">
        <v>1.6018740739165427E-3</v>
      </c>
      <c r="H26" s="28">
        <v>2.1352616730924145E-3</v>
      </c>
      <c r="I26" s="28">
        <v>2.6683643134692847E-3</v>
      </c>
      <c r="J26" s="28">
        <v>3.201182147284376E-3</v>
      </c>
      <c r="K26" s="28">
        <v>3.7337153266937539E-3</v>
      </c>
      <c r="L26" s="28">
        <v>4.2659640037722157E-3</v>
      </c>
      <c r="M26" s="28">
        <v>4.7979283305132903E-3</v>
      </c>
      <c r="N26" s="28">
        <v>5.329608458829016E-3</v>
      </c>
      <c r="O26" s="28">
        <v>5.8610045405508293E-3</v>
      </c>
      <c r="P26" s="28">
        <v>6.3921167274285651E-3</v>
      </c>
      <c r="Q26" s="28">
        <v>6.922945171131345E-3</v>
      </c>
      <c r="R26" s="28">
        <v>7.4534900232468004E-3</v>
      </c>
      <c r="S26" s="28">
        <v>7.9837514352819605E-3</v>
      </c>
      <c r="T26" s="28">
        <v>7.9837514352819605E-3</v>
      </c>
      <c r="U26" s="28">
        <v>7.9837514352819605E-3</v>
      </c>
      <c r="V26" s="28">
        <v>7.9837514352819605E-3</v>
      </c>
      <c r="W26" s="28">
        <v>7.9837514352819605E-3</v>
      </c>
      <c r="X26" s="28">
        <v>7.9837514352819605E-3</v>
      </c>
      <c r="Y26" s="28">
        <v>7.9837514352819605E-3</v>
      </c>
      <c r="Z26" s="28">
        <v>7.9837514352819605E-3</v>
      </c>
      <c r="AA26" s="28">
        <v>7.9837514352819605E-3</v>
      </c>
      <c r="AB26" s="28">
        <v>7.9837514352819605E-3</v>
      </c>
      <c r="AC26" s="28">
        <v>7.9837514352819605E-3</v>
      </c>
      <c r="AD26" s="28">
        <v>7.9837514352819605E-3</v>
      </c>
      <c r="AE26" s="28">
        <v>7.9837514352819605E-3</v>
      </c>
      <c r="AF26" s="28">
        <v>7.9837514352819605E-3</v>
      </c>
      <c r="AG26" s="28">
        <v>7.9837514352819605E-3</v>
      </c>
      <c r="AH26" s="28">
        <v>7.9837514352819605E-3</v>
      </c>
    </row>
    <row r="27" spans="1:34">
      <c r="A27" s="26">
        <v>23</v>
      </c>
      <c r="B27" s="29" t="s">
        <v>116</v>
      </c>
      <c r="C27" s="27" t="s">
        <v>117</v>
      </c>
      <c r="D27" s="28">
        <v>0</v>
      </c>
      <c r="E27" s="28">
        <v>6.6789961442674257E-4</v>
      </c>
      <c r="F27" s="28">
        <v>1.3353531389584949E-3</v>
      </c>
      <c r="G27" s="28">
        <v>2.0023608715385999E-3</v>
      </c>
      <c r="H27" s="28">
        <v>2.668923109911292E-3</v>
      </c>
      <c r="I27" s="28">
        <v>3.3350401516220041E-3</v>
      </c>
      <c r="J27" s="28">
        <v>4.0007122940173279E-3</v>
      </c>
      <c r="K27" s="28">
        <v>4.6659398342454583E-3</v>
      </c>
      <c r="L27" s="28">
        <v>5.3307230692559715E-3</v>
      </c>
      <c r="M27" s="28">
        <v>5.9950622958001576E-3</v>
      </c>
      <c r="N27" s="28">
        <v>6.658957810431021E-3</v>
      </c>
      <c r="O27" s="28">
        <v>7.3224099095037243E-3</v>
      </c>
      <c r="P27" s="28">
        <v>7.9854188891751443E-3</v>
      </c>
      <c r="Q27" s="28">
        <v>8.6479850454048712E-3</v>
      </c>
      <c r="R27" s="28">
        <v>9.3101086739540984E-3</v>
      </c>
      <c r="S27" s="28">
        <v>9.9717900703872875E-3</v>
      </c>
      <c r="T27" s="28">
        <v>9.9717900703872875E-3</v>
      </c>
      <c r="U27" s="28">
        <v>9.9717900703872875E-3</v>
      </c>
      <c r="V27" s="28">
        <v>9.9717900703872875E-3</v>
      </c>
      <c r="W27" s="28">
        <v>9.9717900703872875E-3</v>
      </c>
      <c r="X27" s="28">
        <v>9.9717900703872875E-3</v>
      </c>
      <c r="Y27" s="28">
        <v>9.9717900703872875E-3</v>
      </c>
      <c r="Z27" s="28">
        <v>9.9717900703872875E-3</v>
      </c>
      <c r="AA27" s="28">
        <v>9.9717900703872875E-3</v>
      </c>
      <c r="AB27" s="28">
        <v>9.9717900703872875E-3</v>
      </c>
      <c r="AC27" s="28">
        <v>9.9717900703872875E-3</v>
      </c>
      <c r="AD27" s="28">
        <v>9.9717900703872875E-3</v>
      </c>
      <c r="AE27" s="28">
        <v>9.9717900703872875E-3</v>
      </c>
      <c r="AF27" s="28">
        <v>9.9717900703872875E-3</v>
      </c>
      <c r="AG27" s="28">
        <v>9.9717900703872875E-3</v>
      </c>
      <c r="AH27" s="28">
        <v>9.9717900703872875E-3</v>
      </c>
    </row>
    <row r="28" spans="1:34">
      <c r="A28" s="26">
        <v>24</v>
      </c>
      <c r="B28" s="29" t="s">
        <v>118</v>
      </c>
      <c r="C28" s="27" t="s">
        <v>119</v>
      </c>
      <c r="D28" s="28">
        <v>0</v>
      </c>
      <c r="E28" s="28">
        <v>9.0415064804802783E-4</v>
      </c>
      <c r="F28" s="28">
        <v>1.807483807701793E-3</v>
      </c>
      <c r="G28" s="28">
        <v>2.7100002180937555E-3</v>
      </c>
      <c r="H28" s="28">
        <v>3.6117006176884514E-3</v>
      </c>
      <c r="I28" s="28">
        <v>4.5125857442824824E-3</v>
      </c>
      <c r="J28" s="28">
        <v>5.412656335005539E-3</v>
      </c>
      <c r="K28" s="28">
        <v>6.311913126320623E-3</v>
      </c>
      <c r="L28" s="28">
        <v>7.2103568540250462E-3</v>
      </c>
      <c r="M28" s="28">
        <v>8.1079882532508751E-3</v>
      </c>
      <c r="N28" s="28">
        <v>9.0048080584654855E-3</v>
      </c>
      <c r="O28" s="28">
        <v>9.9008170034718956E-3</v>
      </c>
      <c r="P28" s="28">
        <v>1.0796015821410099E-2</v>
      </c>
      <c r="Q28" s="28">
        <v>1.1690405244756841E-2</v>
      </c>
      <c r="R28" s="28">
        <v>1.2583986005326953E-2</v>
      </c>
      <c r="S28" s="28">
        <v>1.3476758834273239E-2</v>
      </c>
      <c r="T28" s="28">
        <v>1.3476758834273239E-2</v>
      </c>
      <c r="U28" s="28">
        <v>1.3476758834273239E-2</v>
      </c>
      <c r="V28" s="28">
        <v>1.3476758834273239E-2</v>
      </c>
      <c r="W28" s="28">
        <v>1.3476758834273239E-2</v>
      </c>
      <c r="X28" s="28">
        <v>1.3476758834273239E-2</v>
      </c>
      <c r="Y28" s="28">
        <v>1.3476758834273239E-2</v>
      </c>
      <c r="Z28" s="28">
        <v>1.3476758834273239E-2</v>
      </c>
      <c r="AA28" s="28">
        <v>1.3476758834273239E-2</v>
      </c>
      <c r="AB28" s="28">
        <v>1.3476758834273239E-2</v>
      </c>
      <c r="AC28" s="28">
        <v>1.3476758834273239E-2</v>
      </c>
      <c r="AD28" s="28">
        <v>1.3476758834273239E-2</v>
      </c>
      <c r="AE28" s="28">
        <v>1.3476758834273239E-2</v>
      </c>
      <c r="AF28" s="28">
        <v>1.3476758834273239E-2</v>
      </c>
      <c r="AG28" s="28">
        <v>1.3476758834273239E-2</v>
      </c>
      <c r="AH28" s="28">
        <v>1.3476758834273239E-2</v>
      </c>
    </row>
    <row r="29" spans="1:34">
      <c r="A29" s="26">
        <v>25</v>
      </c>
      <c r="B29" s="29" t="s">
        <v>120</v>
      </c>
      <c r="C29" s="27" t="s">
        <v>121</v>
      </c>
      <c r="D29" s="28">
        <v>0</v>
      </c>
      <c r="E29" s="28">
        <v>9.0415064804802783E-4</v>
      </c>
      <c r="F29" s="28">
        <v>1.807483807701793E-3</v>
      </c>
      <c r="G29" s="28">
        <v>2.7100002180937555E-3</v>
      </c>
      <c r="H29" s="28">
        <v>3.6117006176884514E-3</v>
      </c>
      <c r="I29" s="28">
        <v>4.5125857442824824E-3</v>
      </c>
      <c r="J29" s="28">
        <v>5.412656335005539E-3</v>
      </c>
      <c r="K29" s="28">
        <v>6.311913126320623E-3</v>
      </c>
      <c r="L29" s="28">
        <v>7.2103568540250462E-3</v>
      </c>
      <c r="M29" s="28">
        <v>8.1079882532508751E-3</v>
      </c>
      <c r="N29" s="28">
        <v>9.0048080584654855E-3</v>
      </c>
      <c r="O29" s="28">
        <v>9.9008170034718956E-3</v>
      </c>
      <c r="P29" s="28">
        <v>1.0796015821410099E-2</v>
      </c>
      <c r="Q29" s="28">
        <v>1.1690405244756841E-2</v>
      </c>
      <c r="R29" s="28">
        <v>1.2583986005326953E-2</v>
      </c>
      <c r="S29" s="28">
        <v>1.3476758834273239E-2</v>
      </c>
      <c r="T29" s="28">
        <v>1.3476758834273239E-2</v>
      </c>
      <c r="U29" s="28">
        <v>1.3476758834273239E-2</v>
      </c>
      <c r="V29" s="28">
        <v>1.3476758834273239E-2</v>
      </c>
      <c r="W29" s="28">
        <v>1.3476758834273239E-2</v>
      </c>
      <c r="X29" s="28">
        <v>1.3476758834273239E-2</v>
      </c>
      <c r="Y29" s="28">
        <v>1.3476758834273239E-2</v>
      </c>
      <c r="Z29" s="28">
        <v>1.3476758834273239E-2</v>
      </c>
      <c r="AA29" s="28">
        <v>1.3476758834273239E-2</v>
      </c>
      <c r="AB29" s="28">
        <v>1.3476758834273239E-2</v>
      </c>
      <c r="AC29" s="28">
        <v>1.3476758834273239E-2</v>
      </c>
      <c r="AD29" s="28">
        <v>1.3476758834273239E-2</v>
      </c>
      <c r="AE29" s="28">
        <v>1.3476758834273239E-2</v>
      </c>
      <c r="AF29" s="28">
        <v>1.3476758834273239E-2</v>
      </c>
      <c r="AG29" s="28">
        <v>1.3476758834273239E-2</v>
      </c>
      <c r="AH29" s="28">
        <v>1.3476758834273239E-2</v>
      </c>
    </row>
    <row r="30" spans="1:34">
      <c r="A30" s="26">
        <v>26</v>
      </c>
      <c r="B30" s="29" t="s">
        <v>122</v>
      </c>
      <c r="C30" s="27" t="s">
        <v>123</v>
      </c>
      <c r="D30" s="28">
        <v>0</v>
      </c>
      <c r="E30" s="28">
        <v>9.0415064804802783E-4</v>
      </c>
      <c r="F30" s="28">
        <v>1.807483807701793E-3</v>
      </c>
      <c r="G30" s="28">
        <v>2.7100002180937555E-3</v>
      </c>
      <c r="H30" s="28">
        <v>3.6117006176884514E-3</v>
      </c>
      <c r="I30" s="28">
        <v>4.5125857442824824E-3</v>
      </c>
      <c r="J30" s="28">
        <v>5.412656335005539E-3</v>
      </c>
      <c r="K30" s="28">
        <v>6.311913126320623E-3</v>
      </c>
      <c r="L30" s="28">
        <v>7.2103568540250462E-3</v>
      </c>
      <c r="M30" s="28">
        <v>8.1079882532508751E-3</v>
      </c>
      <c r="N30" s="28">
        <v>9.0048080584654855E-3</v>
      </c>
      <c r="O30" s="28">
        <v>9.9008170034718956E-3</v>
      </c>
      <c r="P30" s="28">
        <v>1.0796015821410099E-2</v>
      </c>
      <c r="Q30" s="28">
        <v>1.1690405244756841E-2</v>
      </c>
      <c r="R30" s="28">
        <v>1.2583986005326953E-2</v>
      </c>
      <c r="S30" s="28">
        <v>1.3476758834273239E-2</v>
      </c>
      <c r="T30" s="28">
        <v>1.3476758834273239E-2</v>
      </c>
      <c r="U30" s="28">
        <v>1.3476758834273239E-2</v>
      </c>
      <c r="V30" s="28">
        <v>1.3476758834273239E-2</v>
      </c>
      <c r="W30" s="28">
        <v>1.3476758834273239E-2</v>
      </c>
      <c r="X30" s="28">
        <v>1.3476758834273239E-2</v>
      </c>
      <c r="Y30" s="28">
        <v>1.3476758834273239E-2</v>
      </c>
      <c r="Z30" s="28">
        <v>1.3476758834273239E-2</v>
      </c>
      <c r="AA30" s="28">
        <v>1.3476758834273239E-2</v>
      </c>
      <c r="AB30" s="28">
        <v>1.3476758834273239E-2</v>
      </c>
      <c r="AC30" s="28">
        <v>1.3476758834273239E-2</v>
      </c>
      <c r="AD30" s="28">
        <v>1.3476758834273239E-2</v>
      </c>
      <c r="AE30" s="28">
        <v>1.3476758834273239E-2</v>
      </c>
      <c r="AF30" s="28">
        <v>1.3476758834273239E-2</v>
      </c>
      <c r="AG30" s="28">
        <v>1.3476758834273239E-2</v>
      </c>
      <c r="AH30" s="28">
        <v>1.3476758834273239E-2</v>
      </c>
    </row>
    <row r="31" spans="1:34">
      <c r="A31" s="26">
        <v>27</v>
      </c>
      <c r="B31" s="29" t="s">
        <v>124</v>
      </c>
      <c r="C31" s="27" t="s">
        <v>125</v>
      </c>
      <c r="D31" s="28">
        <v>0</v>
      </c>
      <c r="E31" s="28">
        <v>9.0415064804802783E-4</v>
      </c>
      <c r="F31" s="28">
        <v>1.807483807701793E-3</v>
      </c>
      <c r="G31" s="28">
        <v>2.7100002180937555E-3</v>
      </c>
      <c r="H31" s="28">
        <v>3.6117006176884514E-3</v>
      </c>
      <c r="I31" s="28">
        <v>4.5125857442824824E-3</v>
      </c>
      <c r="J31" s="28">
        <v>5.412656335005539E-3</v>
      </c>
      <c r="K31" s="28">
        <v>6.311913126320623E-3</v>
      </c>
      <c r="L31" s="28">
        <v>7.2103568540250462E-3</v>
      </c>
      <c r="M31" s="28">
        <v>8.1079882532508751E-3</v>
      </c>
      <c r="N31" s="28">
        <v>9.0048080584654855E-3</v>
      </c>
      <c r="O31" s="28">
        <v>9.9008170034718956E-3</v>
      </c>
      <c r="P31" s="28">
        <v>1.0796015821410099E-2</v>
      </c>
      <c r="Q31" s="28">
        <v>1.1690405244756841E-2</v>
      </c>
      <c r="R31" s="28">
        <v>1.2583986005326953E-2</v>
      </c>
      <c r="S31" s="28">
        <v>1.3476758834273239E-2</v>
      </c>
      <c r="T31" s="28">
        <v>1.3476758834273239E-2</v>
      </c>
      <c r="U31" s="28">
        <v>1.3476758834273239E-2</v>
      </c>
      <c r="V31" s="28">
        <v>1.3476758834273239E-2</v>
      </c>
      <c r="W31" s="28">
        <v>1.3476758834273239E-2</v>
      </c>
      <c r="X31" s="28">
        <v>1.3476758834273239E-2</v>
      </c>
      <c r="Y31" s="28">
        <v>1.3476758834273239E-2</v>
      </c>
      <c r="Z31" s="28">
        <v>1.3476758834273239E-2</v>
      </c>
      <c r="AA31" s="28">
        <v>1.3476758834273239E-2</v>
      </c>
      <c r="AB31" s="28">
        <v>1.3476758834273239E-2</v>
      </c>
      <c r="AC31" s="28">
        <v>1.3476758834273239E-2</v>
      </c>
      <c r="AD31" s="28">
        <v>1.3476758834273239E-2</v>
      </c>
      <c r="AE31" s="28">
        <v>1.3476758834273239E-2</v>
      </c>
      <c r="AF31" s="28">
        <v>1.3476758834273239E-2</v>
      </c>
      <c r="AG31" s="28">
        <v>1.3476758834273239E-2</v>
      </c>
      <c r="AH31" s="28">
        <v>1.3476758834273239E-2</v>
      </c>
    </row>
    <row r="32" spans="1:34">
      <c r="A32" s="26">
        <v>28</v>
      </c>
      <c r="B32" s="29" t="s">
        <v>126</v>
      </c>
      <c r="C32" s="27" t="s">
        <v>127</v>
      </c>
      <c r="D32" s="28">
        <v>0</v>
      </c>
      <c r="E32" s="28">
        <v>1.3694491970088131E-3</v>
      </c>
      <c r="F32" s="28">
        <v>2.7370230029143405E-3</v>
      </c>
      <c r="G32" s="28">
        <v>4.1027239859695586E-3</v>
      </c>
      <c r="H32" s="28">
        <v>5.4665547109101764E-3</v>
      </c>
      <c r="I32" s="28">
        <v>6.8285177389596496E-3</v>
      </c>
      <c r="J32" s="28">
        <v>8.1886156278340172E-3</v>
      </c>
      <c r="K32" s="28">
        <v>9.5468509317466754E-3</v>
      </c>
      <c r="L32" s="28">
        <v>1.090322620141293E-2</v>
      </c>
      <c r="M32" s="28">
        <v>1.2257743984055325E-2</v>
      </c>
      <c r="N32" s="28">
        <v>1.3610406823407972E-2</v>
      </c>
      <c r="O32" s="28">
        <v>1.4961217259721549E-2</v>
      </c>
      <c r="P32" s="28">
        <v>1.6310177829767625E-2</v>
      </c>
      <c r="Q32" s="28">
        <v>1.7657291066844327E-2</v>
      </c>
      <c r="R32" s="28">
        <v>1.9002559500780225E-2</v>
      </c>
      <c r="S32" s="28">
        <v>2.0345985657939547E-2</v>
      </c>
      <c r="T32" s="28">
        <v>2.0345985657939547E-2</v>
      </c>
      <c r="U32" s="28">
        <v>2.0345985657939547E-2</v>
      </c>
      <c r="V32" s="28">
        <v>2.0345985657939547E-2</v>
      </c>
      <c r="W32" s="28">
        <v>2.0345985657939547E-2</v>
      </c>
      <c r="X32" s="28">
        <v>2.0345985657939547E-2</v>
      </c>
      <c r="Y32" s="28">
        <v>2.0345985657939547E-2</v>
      </c>
      <c r="Z32" s="28">
        <v>2.0345985657939547E-2</v>
      </c>
      <c r="AA32" s="28">
        <v>2.0345985657939547E-2</v>
      </c>
      <c r="AB32" s="28">
        <v>2.0345985657939547E-2</v>
      </c>
      <c r="AC32" s="28">
        <v>2.0345985657939547E-2</v>
      </c>
      <c r="AD32" s="28">
        <v>2.0345985657939547E-2</v>
      </c>
      <c r="AE32" s="28">
        <v>2.0345985657939547E-2</v>
      </c>
      <c r="AF32" s="28">
        <v>2.0345985657939547E-2</v>
      </c>
      <c r="AG32" s="28">
        <v>2.0345985657939547E-2</v>
      </c>
      <c r="AH32" s="28">
        <v>2.0345985657939547E-2</v>
      </c>
    </row>
    <row r="33" spans="1:34">
      <c r="A33" s="26">
        <v>29</v>
      </c>
      <c r="B33" s="29" t="s">
        <v>128</v>
      </c>
      <c r="C33" s="27" t="s">
        <v>129</v>
      </c>
      <c r="D33" s="28">
        <v>0</v>
      </c>
      <c r="E33" s="28">
        <v>3.4999999999999996E-3</v>
      </c>
      <c r="F33" s="28">
        <v>6.9877499999998482E-3</v>
      </c>
      <c r="G33" s="28">
        <v>1.0463292874999808E-2</v>
      </c>
      <c r="H33" s="28">
        <v>1.3926671349937192E-2</v>
      </c>
      <c r="I33" s="28">
        <v>1.7377928000212317E-2</v>
      </c>
      <c r="J33" s="28">
        <v>2.0817105252211476E-2</v>
      </c>
      <c r="K33" s="28">
        <v>2.4244245383828744E-2</v>
      </c>
      <c r="L33" s="28">
        <v>2.7659390524985228E-2</v>
      </c>
      <c r="M33" s="28">
        <v>3.1062582658147764E-2</v>
      </c>
      <c r="N33" s="28">
        <v>3.4453863618844061E-2</v>
      </c>
      <c r="O33" s="28">
        <v>3.7833275096178065E-2</v>
      </c>
      <c r="P33" s="28">
        <v>4.1200858633341331E-2</v>
      </c>
      <c r="Q33" s="28">
        <v>4.4556655628124608E-2</v>
      </c>
      <c r="R33" s="28">
        <v>4.7900707333426107E-2</v>
      </c>
      <c r="S33" s="28">
        <v>5.1233054857759086E-2</v>
      </c>
      <c r="T33" s="28">
        <v>5.1233054857759086E-2</v>
      </c>
      <c r="U33" s="28">
        <v>5.1233054857759086E-2</v>
      </c>
      <c r="V33" s="28">
        <v>5.1233054857759086E-2</v>
      </c>
      <c r="W33" s="28">
        <v>5.1233054857759086E-2</v>
      </c>
      <c r="X33" s="28">
        <v>5.1233054857759086E-2</v>
      </c>
      <c r="Y33" s="28">
        <v>5.1233054857759086E-2</v>
      </c>
      <c r="Z33" s="28">
        <v>5.1233054857759086E-2</v>
      </c>
      <c r="AA33" s="28">
        <v>5.1233054857759086E-2</v>
      </c>
      <c r="AB33" s="28">
        <v>5.1233054857759086E-2</v>
      </c>
      <c r="AC33" s="28">
        <v>5.1233054857759086E-2</v>
      </c>
      <c r="AD33" s="28">
        <v>5.1233054857759086E-2</v>
      </c>
      <c r="AE33" s="28">
        <v>5.1233054857759086E-2</v>
      </c>
      <c r="AF33" s="28">
        <v>5.1233054857759086E-2</v>
      </c>
      <c r="AG33" s="28">
        <v>5.1233054857759086E-2</v>
      </c>
      <c r="AH33" s="28">
        <v>5.1233054857759086E-2</v>
      </c>
    </row>
    <row r="34" spans="1:34">
      <c r="A34" s="26">
        <v>30</v>
      </c>
      <c r="B34" s="29" t="s">
        <v>130</v>
      </c>
      <c r="C34" s="27" t="s">
        <v>131</v>
      </c>
      <c r="D34" s="28">
        <v>0</v>
      </c>
      <c r="E34" s="28">
        <v>3.4999999999999996E-3</v>
      </c>
      <c r="F34" s="28">
        <v>6.9877499999998482E-3</v>
      </c>
      <c r="G34" s="28">
        <v>1.0463292874999808E-2</v>
      </c>
      <c r="H34" s="28">
        <v>1.3926671349937192E-2</v>
      </c>
      <c r="I34" s="28">
        <v>1.7377928000212317E-2</v>
      </c>
      <c r="J34" s="28">
        <v>2.0817105252211476E-2</v>
      </c>
      <c r="K34" s="28">
        <v>2.4244245383828744E-2</v>
      </c>
      <c r="L34" s="28">
        <v>2.7659390524985228E-2</v>
      </c>
      <c r="M34" s="28">
        <v>3.1062582658147764E-2</v>
      </c>
      <c r="N34" s="28">
        <v>3.4453863618844061E-2</v>
      </c>
      <c r="O34" s="28">
        <v>3.7833275096178065E-2</v>
      </c>
      <c r="P34" s="28">
        <v>4.1200858633341331E-2</v>
      </c>
      <c r="Q34" s="28">
        <v>4.4556655628124608E-2</v>
      </c>
      <c r="R34" s="28">
        <v>4.7900707333426107E-2</v>
      </c>
      <c r="S34" s="28">
        <v>5.1233054857759086E-2</v>
      </c>
      <c r="T34" s="28">
        <v>5.1233054857759086E-2</v>
      </c>
      <c r="U34" s="28">
        <v>5.1233054857759086E-2</v>
      </c>
      <c r="V34" s="28">
        <v>5.1233054857759086E-2</v>
      </c>
      <c r="W34" s="28">
        <v>5.1233054857759086E-2</v>
      </c>
      <c r="X34" s="28">
        <v>5.1233054857759086E-2</v>
      </c>
      <c r="Y34" s="28">
        <v>5.1233054857759086E-2</v>
      </c>
      <c r="Z34" s="28">
        <v>5.1233054857759086E-2</v>
      </c>
      <c r="AA34" s="28">
        <v>5.1233054857759086E-2</v>
      </c>
      <c r="AB34" s="28">
        <v>5.1233054857759086E-2</v>
      </c>
      <c r="AC34" s="28">
        <v>5.1233054857759086E-2</v>
      </c>
      <c r="AD34" s="28">
        <v>5.1233054857759086E-2</v>
      </c>
      <c r="AE34" s="28">
        <v>5.1233054857759086E-2</v>
      </c>
      <c r="AF34" s="28">
        <v>5.1233054857759086E-2</v>
      </c>
      <c r="AG34" s="28">
        <v>5.1233054857759086E-2</v>
      </c>
      <c r="AH34" s="28">
        <v>5.1233054857759086E-2</v>
      </c>
    </row>
    <row r="35" spans="1:34">
      <c r="A35" s="26">
        <v>31</v>
      </c>
      <c r="B35" s="29" t="s">
        <v>132</v>
      </c>
      <c r="C35" s="27" t="s">
        <v>133</v>
      </c>
      <c r="D35" s="28">
        <v>0</v>
      </c>
      <c r="E35" s="28">
        <v>3.4999999999999996E-3</v>
      </c>
      <c r="F35" s="28">
        <v>6.9877499999998482E-3</v>
      </c>
      <c r="G35" s="28">
        <v>1.0463292874999808E-2</v>
      </c>
      <c r="H35" s="28">
        <v>1.3926671349937192E-2</v>
      </c>
      <c r="I35" s="28">
        <v>1.7377928000212317E-2</v>
      </c>
      <c r="J35" s="28">
        <v>2.0817105252211476E-2</v>
      </c>
      <c r="K35" s="28">
        <v>2.4244245383828744E-2</v>
      </c>
      <c r="L35" s="28">
        <v>2.7659390524985228E-2</v>
      </c>
      <c r="M35" s="28">
        <v>3.1062582658147764E-2</v>
      </c>
      <c r="N35" s="28">
        <v>3.4453863618844061E-2</v>
      </c>
      <c r="O35" s="28">
        <v>3.7833275096178065E-2</v>
      </c>
      <c r="P35" s="28">
        <v>4.1200858633341331E-2</v>
      </c>
      <c r="Q35" s="28">
        <v>4.4556655628124608E-2</v>
      </c>
      <c r="R35" s="28">
        <v>4.7900707333426107E-2</v>
      </c>
      <c r="S35" s="28">
        <v>5.1233054857759086E-2</v>
      </c>
      <c r="T35" s="28">
        <v>5.1233054857759086E-2</v>
      </c>
      <c r="U35" s="28">
        <v>5.1233054857759086E-2</v>
      </c>
      <c r="V35" s="28">
        <v>5.1233054857759086E-2</v>
      </c>
      <c r="W35" s="28">
        <v>5.1233054857759086E-2</v>
      </c>
      <c r="X35" s="28">
        <v>5.1233054857759086E-2</v>
      </c>
      <c r="Y35" s="28">
        <v>5.1233054857759086E-2</v>
      </c>
      <c r="Z35" s="28">
        <v>5.1233054857759086E-2</v>
      </c>
      <c r="AA35" s="28">
        <v>5.1233054857759086E-2</v>
      </c>
      <c r="AB35" s="28">
        <v>5.1233054857759086E-2</v>
      </c>
      <c r="AC35" s="28">
        <v>5.1233054857759086E-2</v>
      </c>
      <c r="AD35" s="28">
        <v>5.1233054857759086E-2</v>
      </c>
      <c r="AE35" s="28">
        <v>5.1233054857759086E-2</v>
      </c>
      <c r="AF35" s="28">
        <v>5.1233054857759086E-2</v>
      </c>
      <c r="AG35" s="28">
        <v>5.1233054857759086E-2</v>
      </c>
      <c r="AH35" s="28">
        <v>5.1233054857759086E-2</v>
      </c>
    </row>
    <row r="36" spans="1:34">
      <c r="A36" s="26">
        <v>32</v>
      </c>
      <c r="B36" s="29" t="s">
        <v>134</v>
      </c>
      <c r="C36" s="27" t="s">
        <v>135</v>
      </c>
      <c r="D36" s="28">
        <v>0</v>
      </c>
      <c r="E36" s="28">
        <v>8.1000000000000013E-3</v>
      </c>
      <c r="F36" s="28">
        <v>1.6134389999999943E-2</v>
      </c>
      <c r="G36" s="28">
        <v>2.4103701440999936E-2</v>
      </c>
      <c r="H36" s="28">
        <v>3.2008461459327786E-2</v>
      </c>
      <c r="I36" s="28">
        <v>3.9849192921507237E-2</v>
      </c>
      <c r="J36" s="28">
        <v>4.7626414458842969E-2</v>
      </c>
      <c r="K36" s="28">
        <v>5.5340640501726379E-2</v>
      </c>
      <c r="L36" s="28">
        <v>6.2992381313662249E-2</v>
      </c>
      <c r="M36" s="28">
        <v>7.0582143025021526E-2</v>
      </c>
      <c r="N36" s="28">
        <v>7.8110427666518878E-2</v>
      </c>
      <c r="O36" s="28">
        <v>8.5577733202420014E-2</v>
      </c>
      <c r="P36" s="28">
        <v>9.2984553563480343E-2</v>
      </c>
      <c r="Q36" s="28">
        <v>0.10033137867961617</v>
      </c>
      <c r="R36" s="28">
        <v>0.10761869451231132</v>
      </c>
      <c r="S36" s="28">
        <v>0.11484698308676156</v>
      </c>
      <c r="T36" s="28">
        <v>0.11484698308676156</v>
      </c>
      <c r="U36" s="28">
        <v>0.11484698308676156</v>
      </c>
      <c r="V36" s="28">
        <v>0.11484698308676156</v>
      </c>
      <c r="W36" s="28">
        <v>0.11484698308676156</v>
      </c>
      <c r="X36" s="28">
        <v>0.11484698308676156</v>
      </c>
      <c r="Y36" s="28">
        <v>0.11484698308676156</v>
      </c>
      <c r="Z36" s="28">
        <v>0.11484698308676156</v>
      </c>
      <c r="AA36" s="28">
        <v>0.11484698308676156</v>
      </c>
      <c r="AB36" s="28">
        <v>0.11484698308676156</v>
      </c>
      <c r="AC36" s="28">
        <v>0.11484698308676156</v>
      </c>
      <c r="AD36" s="28">
        <v>0.11484698308676156</v>
      </c>
      <c r="AE36" s="28">
        <v>0.11484698308676156</v>
      </c>
      <c r="AF36" s="28">
        <v>0.11484698308676156</v>
      </c>
      <c r="AG36" s="28">
        <v>0.11484698308676156</v>
      </c>
      <c r="AH36" s="28">
        <v>0.11484698308676156</v>
      </c>
    </row>
    <row r="37" spans="1:34">
      <c r="A37" s="26">
        <v>33</v>
      </c>
      <c r="B37" s="29" t="s">
        <v>136</v>
      </c>
      <c r="C37" s="27" t="s">
        <v>137</v>
      </c>
      <c r="D37" s="28">
        <v>0</v>
      </c>
      <c r="E37" s="28">
        <v>8.1000000000000013E-3</v>
      </c>
      <c r="F37" s="28">
        <v>1.6134389999999943E-2</v>
      </c>
      <c r="G37" s="28">
        <v>2.4103701440999936E-2</v>
      </c>
      <c r="H37" s="28">
        <v>3.2008461459327786E-2</v>
      </c>
      <c r="I37" s="28">
        <v>3.9849192921507237E-2</v>
      </c>
      <c r="J37" s="28">
        <v>4.7626414458842969E-2</v>
      </c>
      <c r="K37" s="28">
        <v>5.5340640501726379E-2</v>
      </c>
      <c r="L37" s="28">
        <v>6.2992381313662249E-2</v>
      </c>
      <c r="M37" s="28">
        <v>7.0582143025021526E-2</v>
      </c>
      <c r="N37" s="28">
        <v>7.8110427666518878E-2</v>
      </c>
      <c r="O37" s="28">
        <v>8.5577733202420014E-2</v>
      </c>
      <c r="P37" s="28">
        <v>9.2984553563480343E-2</v>
      </c>
      <c r="Q37" s="28">
        <v>0.10033137867961617</v>
      </c>
      <c r="R37" s="28">
        <v>0.10761869451231132</v>
      </c>
      <c r="S37" s="28">
        <v>0.11484698308676156</v>
      </c>
      <c r="T37" s="28">
        <v>0.11484698308676156</v>
      </c>
      <c r="U37" s="28">
        <v>0.11484698308676156</v>
      </c>
      <c r="V37" s="28">
        <v>0.11484698308676156</v>
      </c>
      <c r="W37" s="28">
        <v>0.11484698308676156</v>
      </c>
      <c r="X37" s="28">
        <v>0.11484698308676156</v>
      </c>
      <c r="Y37" s="28">
        <v>0.11484698308676156</v>
      </c>
      <c r="Z37" s="28">
        <v>0.11484698308676156</v>
      </c>
      <c r="AA37" s="28">
        <v>0.11484698308676156</v>
      </c>
      <c r="AB37" s="28">
        <v>0.11484698308676156</v>
      </c>
      <c r="AC37" s="28">
        <v>0.11484698308676156</v>
      </c>
      <c r="AD37" s="28">
        <v>0.11484698308676156</v>
      </c>
      <c r="AE37" s="28">
        <v>0.11484698308676156</v>
      </c>
      <c r="AF37" s="28">
        <v>0.11484698308676156</v>
      </c>
      <c r="AG37" s="28">
        <v>0.11484698308676156</v>
      </c>
      <c r="AH37" s="28">
        <v>0.11484698308676156</v>
      </c>
    </row>
    <row r="38" spans="1:34">
      <c r="A38" s="26">
        <v>34</v>
      </c>
      <c r="B38" s="29" t="s">
        <v>138</v>
      </c>
      <c r="C38" s="27" t="s">
        <v>139</v>
      </c>
      <c r="D38" s="28">
        <v>0</v>
      </c>
      <c r="E38" s="28">
        <v>2.5099999999999997E-2</v>
      </c>
      <c r="F38" s="28">
        <v>4.9569990000000064E-2</v>
      </c>
      <c r="G38" s="28">
        <v>7.3425783251000021E-2</v>
      </c>
      <c r="H38" s="28">
        <v>9.6682796091400069E-2</v>
      </c>
      <c r="I38" s="28">
        <v>0.11935605790950599</v>
      </c>
      <c r="J38" s="28">
        <v>0.14146022085597743</v>
      </c>
      <c r="K38" s="28">
        <v>0.16300956931249233</v>
      </c>
      <c r="L38" s="28">
        <v>0.18401802912274889</v>
      </c>
      <c r="M38" s="28">
        <v>0.20449917659176786</v>
      </c>
      <c r="N38" s="28">
        <v>0.22446624725931452</v>
      </c>
      <c r="O38" s="28">
        <v>0.24393214445310574</v>
      </c>
      <c r="P38" s="28">
        <v>0.26290944762733293</v>
      </c>
      <c r="Q38" s="28">
        <v>0.28141042049188691</v>
      </c>
      <c r="R38" s="28">
        <v>0.29944701893754055</v>
      </c>
      <c r="S38" s="28">
        <v>0.31703089876220825</v>
      </c>
      <c r="T38" s="28">
        <v>0.31703089876220825</v>
      </c>
      <c r="U38" s="28">
        <v>0.31703089876220825</v>
      </c>
      <c r="V38" s="28">
        <v>0.31703089876220825</v>
      </c>
      <c r="W38" s="28">
        <v>0.31703089876220825</v>
      </c>
      <c r="X38" s="28">
        <v>0.31703089876220825</v>
      </c>
      <c r="Y38" s="28">
        <v>0.31703089876220825</v>
      </c>
      <c r="Z38" s="28">
        <v>0.31703089876220825</v>
      </c>
      <c r="AA38" s="28">
        <v>0.31703089876220825</v>
      </c>
      <c r="AB38" s="28">
        <v>0.31703089876220825</v>
      </c>
      <c r="AC38" s="28">
        <v>0.31703089876220825</v>
      </c>
      <c r="AD38" s="28">
        <v>0.31703089876220825</v>
      </c>
      <c r="AE38" s="28">
        <v>0.31703089876220825</v>
      </c>
      <c r="AF38" s="28">
        <v>0.31703089876220825</v>
      </c>
      <c r="AG38" s="28">
        <v>0.31703089876220825</v>
      </c>
      <c r="AH38" s="28">
        <v>0.31703089876220825</v>
      </c>
    </row>
    <row r="39" spans="1:34">
      <c r="A39" s="26">
        <v>35</v>
      </c>
      <c r="B39" s="29" t="s">
        <v>140</v>
      </c>
      <c r="C39" s="27" t="s">
        <v>141</v>
      </c>
      <c r="D39" s="28">
        <v>0</v>
      </c>
      <c r="E39" s="28">
        <v>7.2999999999999995E-2</v>
      </c>
      <c r="F39" s="28">
        <v>0.14067099999999988</v>
      </c>
      <c r="G39" s="28">
        <v>0.20340201699999982</v>
      </c>
      <c r="H39" s="28">
        <v>0.26155366975899974</v>
      </c>
      <c r="I39" s="28">
        <v>0.31546025186659277</v>
      </c>
      <c r="J39" s="28">
        <v>0.36543165348033135</v>
      </c>
      <c r="K39" s="28">
        <v>0.41175514277626712</v>
      </c>
      <c r="L39" s="28">
        <v>0.45469701735359958</v>
      </c>
      <c r="M39" s="28">
        <v>0.49450413508678681</v>
      </c>
      <c r="N39" s="28">
        <v>0.53140533322545136</v>
      </c>
      <c r="O39" s="28">
        <v>0.56561274389999339</v>
      </c>
      <c r="P39" s="28">
        <v>0.59732301359529383</v>
      </c>
      <c r="Q39" s="28">
        <v>0.6267184336028373</v>
      </c>
      <c r="R39" s="28">
        <v>0.65396798794983013</v>
      </c>
      <c r="S39" s="28">
        <v>0.67922832482949247</v>
      </c>
      <c r="T39" s="28">
        <v>0.67922832482949247</v>
      </c>
      <c r="U39" s="28">
        <v>0.67922832482949247</v>
      </c>
      <c r="V39" s="28">
        <v>0.67922832482949247</v>
      </c>
      <c r="W39" s="28">
        <v>0.67922832482949247</v>
      </c>
      <c r="X39" s="28">
        <v>0.67922832482949247</v>
      </c>
      <c r="Y39" s="28">
        <v>0.67922832482949247</v>
      </c>
      <c r="Z39" s="28">
        <v>0.67922832482949247</v>
      </c>
      <c r="AA39" s="28">
        <v>0.67922832482949247</v>
      </c>
      <c r="AB39" s="28">
        <v>0.67922832482949247</v>
      </c>
      <c r="AC39" s="28">
        <v>0.67922832482949247</v>
      </c>
      <c r="AD39" s="28">
        <v>0.67922832482949247</v>
      </c>
      <c r="AE39" s="28">
        <v>0.67922832482949247</v>
      </c>
      <c r="AF39" s="28">
        <v>0.67922832482949247</v>
      </c>
      <c r="AG39" s="28">
        <v>0.67922832482949247</v>
      </c>
      <c r="AH39" s="28">
        <v>0.67922832482949247</v>
      </c>
    </row>
    <row r="40" spans="1:34">
      <c r="A40" s="26">
        <v>36</v>
      </c>
      <c r="B40" s="29" t="s">
        <v>142</v>
      </c>
      <c r="C40" s="27" t="s">
        <v>143</v>
      </c>
      <c r="D40" s="28">
        <v>0</v>
      </c>
      <c r="E40" s="28">
        <v>0.17</v>
      </c>
      <c r="F40" s="28">
        <v>0.31110000000000004</v>
      </c>
      <c r="G40" s="28">
        <v>0.42821300000000007</v>
      </c>
      <c r="H40" s="28">
        <v>0.52541679000000008</v>
      </c>
      <c r="I40" s="28">
        <v>0.60609593570000009</v>
      </c>
      <c r="J40" s="28">
        <v>0.67305962663100005</v>
      </c>
      <c r="K40" s="28">
        <v>0.72863949010373008</v>
      </c>
      <c r="L40" s="28">
        <v>0.77477077678609596</v>
      </c>
      <c r="M40" s="28">
        <v>0.81305974473245968</v>
      </c>
      <c r="N40" s="28">
        <v>0.84483958812794158</v>
      </c>
      <c r="O40" s="28">
        <v>0.87121685814619143</v>
      </c>
      <c r="P40" s="28">
        <v>0.89310999226133891</v>
      </c>
      <c r="Q40" s="28">
        <v>0.91128129357691134</v>
      </c>
      <c r="R40" s="28">
        <v>0.92636347366883642</v>
      </c>
      <c r="S40" s="28">
        <v>0.9388816831451342</v>
      </c>
      <c r="T40" s="28">
        <v>0.9388816831451342</v>
      </c>
      <c r="U40" s="28">
        <v>0.9388816831451342</v>
      </c>
      <c r="V40" s="28">
        <v>0.9388816831451342</v>
      </c>
      <c r="W40" s="28">
        <v>0.9388816831451342</v>
      </c>
      <c r="X40" s="28">
        <v>0.9388816831451342</v>
      </c>
      <c r="Y40" s="28">
        <v>0.9388816831451342</v>
      </c>
      <c r="Z40" s="28">
        <v>0.9388816831451342</v>
      </c>
      <c r="AA40" s="28">
        <v>0.9388816831451342</v>
      </c>
      <c r="AB40" s="28">
        <v>0.9388816831451342</v>
      </c>
      <c r="AC40" s="28">
        <v>0.9388816831451342</v>
      </c>
      <c r="AD40" s="28">
        <v>0.9388816831451342</v>
      </c>
      <c r="AE40" s="28">
        <v>0.9388816831451342</v>
      </c>
      <c r="AF40" s="28">
        <v>0.9388816831451342</v>
      </c>
      <c r="AG40" s="28">
        <v>0.9388816831451342</v>
      </c>
      <c r="AH40" s="28">
        <v>0.9388816831451342</v>
      </c>
    </row>
    <row r="41" spans="1:34">
      <c r="A41" s="26">
        <v>37</v>
      </c>
      <c r="B41" s="29" t="s">
        <v>144</v>
      </c>
      <c r="C41" s="27" t="s">
        <v>145</v>
      </c>
      <c r="D41" s="28">
        <v>1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</row>
    <row r="42" spans="1:34">
      <c r="A42" s="26">
        <v>38</v>
      </c>
      <c r="B42" s="29" t="s">
        <v>146</v>
      </c>
      <c r="C42" s="27" t="s">
        <v>147</v>
      </c>
      <c r="D42" s="28">
        <v>0</v>
      </c>
      <c r="E42" s="28">
        <v>3.4200000000000001E-2</v>
      </c>
      <c r="F42" s="28">
        <v>6.2899999999999998E-2</v>
      </c>
      <c r="G42" s="28">
        <v>8.9499999999999996E-2</v>
      </c>
      <c r="H42" s="28">
        <v>0.11409999999999999</v>
      </c>
      <c r="I42" s="28">
        <v>0.1391</v>
      </c>
      <c r="J42" s="28">
        <v>0.16439999999999999</v>
      </c>
      <c r="K42" s="28">
        <v>0.18909999999999999</v>
      </c>
      <c r="L42" s="28">
        <v>0.2114</v>
      </c>
      <c r="M42" s="28">
        <v>0.23089999999999999</v>
      </c>
      <c r="N42" s="28">
        <v>0.248</v>
      </c>
      <c r="O42" s="28">
        <v>0.26319999999999999</v>
      </c>
      <c r="P42" s="28">
        <v>0.27779999999999999</v>
      </c>
      <c r="Q42" s="28">
        <v>0.29199999999999998</v>
      </c>
      <c r="R42" s="28">
        <v>0.30599999999999999</v>
      </c>
      <c r="S42" s="28">
        <v>0.3201</v>
      </c>
      <c r="T42" s="28">
        <v>0.3201</v>
      </c>
      <c r="U42" s="28">
        <v>0.3201</v>
      </c>
      <c r="V42" s="28">
        <v>0.3201</v>
      </c>
      <c r="W42" s="28">
        <v>0.3201</v>
      </c>
      <c r="X42" s="28">
        <v>0.3201</v>
      </c>
      <c r="Y42" s="28">
        <v>0.3201</v>
      </c>
      <c r="Z42" s="28">
        <v>0.3201</v>
      </c>
      <c r="AA42" s="28">
        <v>0.3201</v>
      </c>
      <c r="AB42" s="28">
        <v>0.3201</v>
      </c>
      <c r="AC42" s="28">
        <v>0.3201</v>
      </c>
      <c r="AD42" s="28">
        <v>0.3201</v>
      </c>
      <c r="AE42" s="28">
        <v>0.3201</v>
      </c>
      <c r="AF42" s="28">
        <v>0.3201</v>
      </c>
      <c r="AG42" s="28">
        <v>0.3201</v>
      </c>
      <c r="AH42" s="28">
        <v>0.3201</v>
      </c>
    </row>
    <row r="43" spans="1:34">
      <c r="A43" s="24">
        <v>39</v>
      </c>
      <c r="B43" s="22" t="s">
        <v>148</v>
      </c>
      <c r="C43" s="22" t="s">
        <v>149</v>
      </c>
      <c r="D43" s="23">
        <v>0</v>
      </c>
      <c r="E43" s="23">
        <v>1.7813034662216343E-4</v>
      </c>
      <c r="F43" s="23">
        <v>3.5622896282394567E-4</v>
      </c>
      <c r="G43" s="23">
        <v>5.3429585425746051E-4</v>
      </c>
      <c r="H43" s="23">
        <v>7.1233102657397573E-4</v>
      </c>
      <c r="I43" s="23">
        <v>8.9033448542352733E-4</v>
      </c>
      <c r="J43" s="23">
        <v>1.0683062364551521E-3</v>
      </c>
      <c r="K43" s="23">
        <v>1.2462462853171097E-3</v>
      </c>
      <c r="L43" s="23">
        <v>1.4241546376565495E-3</v>
      </c>
      <c r="M43" s="23">
        <v>1.6020312991195107E-3</v>
      </c>
      <c r="N43" s="23">
        <v>1.7798762753510333E-3</v>
      </c>
      <c r="O43" s="23">
        <v>1.9576895719952692E-3</v>
      </c>
      <c r="P43" s="23">
        <v>2.1354711946954819E-3</v>
      </c>
      <c r="Q43" s="23">
        <v>2.3132211490936028E-3</v>
      </c>
      <c r="R43" s="23">
        <v>2.4909394408305641E-3</v>
      </c>
      <c r="S43" s="23">
        <v>2.6686260755467428E-3</v>
      </c>
      <c r="T43" s="23">
        <v>2.6686260755467428E-3</v>
      </c>
      <c r="U43" s="23">
        <v>2.6686260755467428E-3</v>
      </c>
      <c r="V43" s="23">
        <v>2.6686260755467428E-3</v>
      </c>
      <c r="W43" s="23">
        <v>2.6686260755467428E-3</v>
      </c>
      <c r="X43" s="23">
        <v>2.6686260755467428E-3</v>
      </c>
      <c r="Y43" s="23">
        <v>2.6686260755467428E-3</v>
      </c>
      <c r="Z43" s="23">
        <v>2.6686260755467428E-3</v>
      </c>
      <c r="AA43" s="23">
        <v>2.6686260755467428E-3</v>
      </c>
      <c r="AB43" s="23">
        <v>2.6686260755467428E-3</v>
      </c>
      <c r="AC43" s="23">
        <v>2.6686260755467428E-3</v>
      </c>
      <c r="AD43" s="23">
        <v>2.6686260755467428E-3</v>
      </c>
      <c r="AE43" s="23">
        <v>2.6686260755467428E-3</v>
      </c>
      <c r="AF43" s="23">
        <v>2.6686260755467428E-3</v>
      </c>
      <c r="AG43" s="23">
        <v>2.6686260755467428E-3</v>
      </c>
      <c r="AH43" s="23">
        <v>2.6686260755467428E-3</v>
      </c>
    </row>
    <row r="44" spans="1:34">
      <c r="A44" s="24">
        <v>40</v>
      </c>
      <c r="B44" s="25" t="s">
        <v>150</v>
      </c>
      <c r="C44" s="22" t="s">
        <v>151</v>
      </c>
      <c r="D44" s="23">
        <v>0</v>
      </c>
      <c r="E44" s="23">
        <v>2.4173721361907033E-4</v>
      </c>
      <c r="F44" s="23">
        <v>4.8341599035772731E-4</v>
      </c>
      <c r="G44" s="23">
        <v>7.2503634434228914E-4</v>
      </c>
      <c r="H44" s="23">
        <v>9.6659828969569705E-4</v>
      </c>
      <c r="I44" s="23">
        <v>1.2081018405375454E-3</v>
      </c>
      <c r="J44" s="23">
        <v>1.449547010983987E-3</v>
      </c>
      <c r="K44" s="23">
        <v>1.6909338151476216E-3</v>
      </c>
      <c r="L44" s="23">
        <v>1.9322622671377188E-3</v>
      </c>
      <c r="M44" s="23">
        <v>2.173532381060328E-3</v>
      </c>
      <c r="N44" s="23">
        <v>2.4147441710179463E-3</v>
      </c>
      <c r="O44" s="23">
        <v>2.6558976511095178E-3</v>
      </c>
      <c r="P44" s="23">
        <v>2.8969928354307672E-3</v>
      </c>
      <c r="Q44" s="23">
        <v>3.1380297380739774E-3</v>
      </c>
      <c r="R44" s="23">
        <v>3.3790083731279896E-3</v>
      </c>
      <c r="S44" s="23">
        <v>3.6199287546780923E-3</v>
      </c>
      <c r="T44" s="23">
        <v>3.6199287546780923E-3</v>
      </c>
      <c r="U44" s="23">
        <v>3.6199287546780923E-3</v>
      </c>
      <c r="V44" s="23">
        <v>3.6199287546780923E-3</v>
      </c>
      <c r="W44" s="23">
        <v>3.6199287546780923E-3</v>
      </c>
      <c r="X44" s="23">
        <v>3.6199287546780923E-3</v>
      </c>
      <c r="Y44" s="23">
        <v>3.6199287546780923E-3</v>
      </c>
      <c r="Z44" s="23">
        <v>3.6199287546780923E-3</v>
      </c>
      <c r="AA44" s="23">
        <v>3.6199287546780923E-3</v>
      </c>
      <c r="AB44" s="23">
        <v>3.6199287546780923E-3</v>
      </c>
      <c r="AC44" s="23">
        <v>3.6199287546780923E-3</v>
      </c>
      <c r="AD44" s="23">
        <v>3.6199287546780923E-3</v>
      </c>
      <c r="AE44" s="23">
        <v>3.6199287546780923E-3</v>
      </c>
      <c r="AF44" s="23">
        <v>3.6199287546780923E-3</v>
      </c>
      <c r="AG44" s="23">
        <v>3.6199287546780923E-3</v>
      </c>
      <c r="AH44" s="23">
        <v>3.6199287546780923E-3</v>
      </c>
    </row>
    <row r="45" spans="1:34">
      <c r="A45" s="24">
        <v>41</v>
      </c>
      <c r="B45" s="25" t="s">
        <v>152</v>
      </c>
      <c r="C45" s="22" t="s">
        <v>153</v>
      </c>
      <c r="D45" s="23">
        <v>0</v>
      </c>
      <c r="E45" s="23">
        <v>3.2804939802056645E-4</v>
      </c>
      <c r="F45" s="23">
        <v>6.5599117963355269E-4</v>
      </c>
      <c r="G45" s="23">
        <v>9.838253801425223E-4</v>
      </c>
      <c r="H45" s="23">
        <v>1.3115520348393472E-3</v>
      </c>
      <c r="I45" s="23">
        <v>1.6391711790043617E-3</v>
      </c>
      <c r="J45" s="23">
        <v>1.9666828479064646E-3</v>
      </c>
      <c r="K45" s="23">
        <v>2.2940870768025645E-3</v>
      </c>
      <c r="L45" s="23">
        <v>2.6213839009385786E-3</v>
      </c>
      <c r="M45" s="23">
        <v>2.9485733555484339E-3</v>
      </c>
      <c r="N45" s="23">
        <v>3.2756554758547329E-3</v>
      </c>
      <c r="O45" s="23">
        <v>3.60263029706831E-3</v>
      </c>
      <c r="P45" s="23">
        <v>3.9294978543885639E-3</v>
      </c>
      <c r="Q45" s="23">
        <v>4.2562581830034585E-3</v>
      </c>
      <c r="R45" s="23">
        <v>4.5829113180893E-3</v>
      </c>
      <c r="S45" s="23">
        <v>4.9094572948106263E-3</v>
      </c>
      <c r="T45" s="23">
        <v>4.9094572948106263E-3</v>
      </c>
      <c r="U45" s="23">
        <v>4.9094572948106263E-3</v>
      </c>
      <c r="V45" s="23">
        <v>4.9094572948106263E-3</v>
      </c>
      <c r="W45" s="23">
        <v>4.9094572948106263E-3</v>
      </c>
      <c r="X45" s="23">
        <v>4.9094572948106263E-3</v>
      </c>
      <c r="Y45" s="23">
        <v>4.9094572948106263E-3</v>
      </c>
      <c r="Z45" s="23">
        <v>4.9094572948106263E-3</v>
      </c>
      <c r="AA45" s="23">
        <v>4.9094572948106263E-3</v>
      </c>
      <c r="AB45" s="23">
        <v>4.9094572948106263E-3</v>
      </c>
      <c r="AC45" s="23">
        <v>4.9094572948106263E-3</v>
      </c>
      <c r="AD45" s="23">
        <v>4.9094572948106263E-3</v>
      </c>
      <c r="AE45" s="23">
        <v>4.9094572948106263E-3</v>
      </c>
      <c r="AF45" s="23">
        <v>4.9094572948106263E-3</v>
      </c>
      <c r="AG45" s="23">
        <v>4.9094572948106263E-3</v>
      </c>
      <c r="AH45" s="23">
        <v>4.9094572948106263E-3</v>
      </c>
    </row>
    <row r="46" spans="1:34">
      <c r="A46" s="24">
        <v>42</v>
      </c>
      <c r="B46" s="25" t="s">
        <v>154</v>
      </c>
      <c r="C46" s="22" t="s">
        <v>155</v>
      </c>
      <c r="D46" s="23">
        <v>0</v>
      </c>
      <c r="E46" s="23">
        <v>4.45165594229681E-4</v>
      </c>
      <c r="F46" s="23">
        <v>8.9013301605311845E-4</v>
      </c>
      <c r="G46" s="23">
        <v>1.3349023536898263E-3</v>
      </c>
      <c r="H46" s="23">
        <v>1.7794736953199441E-3</v>
      </c>
      <c r="I46" s="23">
        <v>2.2238471290846329E-3</v>
      </c>
      <c r="J46" s="23">
        <v>2.6680227430856407E-3</v>
      </c>
      <c r="K46" s="23">
        <v>3.1120006253855248E-3</v>
      </c>
      <c r="L46" s="23">
        <v>3.5557808640075406E-3</v>
      </c>
      <c r="M46" s="23">
        <v>3.9993635469359745E-3</v>
      </c>
      <c r="N46" s="23">
        <v>4.4427487621158113E-3</v>
      </c>
      <c r="O46" s="23">
        <v>4.8859365974528446E-3</v>
      </c>
      <c r="P46" s="23">
        <v>5.3289271408136774E-3</v>
      </c>
      <c r="Q46" s="23">
        <v>5.7717204800260546E-3</v>
      </c>
      <c r="R46" s="23">
        <v>6.2143167028785307E-3</v>
      </c>
      <c r="S46" s="23">
        <v>6.6567158971205798E-3</v>
      </c>
      <c r="T46" s="23">
        <v>6.6567158971205798E-3</v>
      </c>
      <c r="U46" s="23">
        <v>6.6567158971205798E-3</v>
      </c>
      <c r="V46" s="23">
        <v>6.6567158971205798E-3</v>
      </c>
      <c r="W46" s="23">
        <v>6.6567158971205798E-3</v>
      </c>
      <c r="X46" s="23">
        <v>6.6567158971205798E-3</v>
      </c>
      <c r="Y46" s="23">
        <v>6.6567158971205798E-3</v>
      </c>
      <c r="Z46" s="23">
        <v>6.6567158971205798E-3</v>
      </c>
      <c r="AA46" s="23">
        <v>6.6567158971205798E-3</v>
      </c>
      <c r="AB46" s="23">
        <v>6.6567158971205798E-3</v>
      </c>
      <c r="AC46" s="23">
        <v>6.6567158971205798E-3</v>
      </c>
      <c r="AD46" s="23">
        <v>6.6567158971205798E-3</v>
      </c>
      <c r="AE46" s="23">
        <v>6.6567158971205798E-3</v>
      </c>
      <c r="AF46" s="23">
        <v>6.6567158971205798E-3</v>
      </c>
      <c r="AG46" s="23">
        <v>6.6567158971205798E-3</v>
      </c>
      <c r="AH46" s="23">
        <v>6.6567158971205798E-3</v>
      </c>
    </row>
    <row r="47" spans="1:34">
      <c r="A47" s="24">
        <v>43</v>
      </c>
      <c r="B47" s="25" t="s">
        <v>156</v>
      </c>
      <c r="C47" s="22" t="s">
        <v>157</v>
      </c>
      <c r="D47" s="23">
        <v>0</v>
      </c>
      <c r="E47" s="23">
        <v>6.1311530188326569E-4</v>
      </c>
      <c r="F47" s="23">
        <v>1.2258546933930914E-3</v>
      </c>
      <c r="G47" s="23">
        <v>1.8382184050059758E-3</v>
      </c>
      <c r="H47" s="23">
        <v>2.4502066670568645E-3</v>
      </c>
      <c r="I47" s="23">
        <v>3.0618197097397326E-3</v>
      </c>
      <c r="J47" s="23">
        <v>3.6730577631073347E-3</v>
      </c>
      <c r="K47" s="23">
        <v>4.283921057071427E-3</v>
      </c>
      <c r="L47" s="23">
        <v>4.8944098214024345E-3</v>
      </c>
      <c r="M47" s="23">
        <v>5.5045242857304499E-3</v>
      </c>
      <c r="N47" s="23">
        <v>6.1142646795445676E-3</v>
      </c>
      <c r="O47" s="23">
        <v>6.7236312321931058E-3</v>
      </c>
      <c r="P47" s="23">
        <v>7.3326241728836061E-3</v>
      </c>
      <c r="Q47" s="23">
        <v>7.9412437306835004E-3</v>
      </c>
      <c r="R47" s="23">
        <v>8.5494901345194441E-3</v>
      </c>
      <c r="S47" s="23">
        <v>9.1573636131779823E-3</v>
      </c>
      <c r="T47" s="23">
        <v>9.1573636131779823E-3</v>
      </c>
      <c r="U47" s="23">
        <v>9.1573636131779823E-3</v>
      </c>
      <c r="V47" s="23">
        <v>9.1573636131779823E-3</v>
      </c>
      <c r="W47" s="23">
        <v>9.1573636131779823E-3</v>
      </c>
      <c r="X47" s="23">
        <v>9.1573636131779823E-3</v>
      </c>
      <c r="Y47" s="23">
        <v>9.1573636131779823E-3</v>
      </c>
      <c r="Z47" s="23">
        <v>9.1573636131779823E-3</v>
      </c>
      <c r="AA47" s="23">
        <v>9.1573636131779823E-3</v>
      </c>
      <c r="AB47" s="23">
        <v>9.1573636131779823E-3</v>
      </c>
      <c r="AC47" s="23">
        <v>9.1573636131779823E-3</v>
      </c>
      <c r="AD47" s="23">
        <v>9.1573636131779823E-3</v>
      </c>
      <c r="AE47" s="23">
        <v>9.1573636131779823E-3</v>
      </c>
      <c r="AF47" s="23">
        <v>9.1573636131779823E-3</v>
      </c>
      <c r="AG47" s="23">
        <v>9.1573636131779823E-3</v>
      </c>
      <c r="AH47" s="23">
        <v>9.1573636131779823E-3</v>
      </c>
    </row>
    <row r="48" spans="1:34">
      <c r="A48" s="24">
        <v>44</v>
      </c>
      <c r="B48" s="25" t="s">
        <v>158</v>
      </c>
      <c r="C48" s="22" t="s">
        <v>159</v>
      </c>
      <c r="D48" s="23">
        <v>0</v>
      </c>
      <c r="E48" s="23">
        <v>6.1311530188326569E-4</v>
      </c>
      <c r="F48" s="23">
        <v>1.2258546933930914E-3</v>
      </c>
      <c r="G48" s="23">
        <v>1.8382184050059758E-3</v>
      </c>
      <c r="H48" s="23">
        <v>2.4502066670568645E-3</v>
      </c>
      <c r="I48" s="23">
        <v>3.0618197097397326E-3</v>
      </c>
      <c r="J48" s="23">
        <v>3.6730577631073347E-3</v>
      </c>
      <c r="K48" s="23">
        <v>4.283921057071427E-3</v>
      </c>
      <c r="L48" s="23">
        <v>4.8944098214024345E-3</v>
      </c>
      <c r="M48" s="23">
        <v>5.5045242857304499E-3</v>
      </c>
      <c r="N48" s="23">
        <v>6.1142646795445676E-3</v>
      </c>
      <c r="O48" s="23">
        <v>6.7236312321931058E-3</v>
      </c>
      <c r="P48" s="23">
        <v>7.3326241728836061E-3</v>
      </c>
      <c r="Q48" s="23">
        <v>7.9412437306835004E-3</v>
      </c>
      <c r="R48" s="23">
        <v>8.5494901345194441E-3</v>
      </c>
      <c r="S48" s="23">
        <v>9.1573636131779823E-3</v>
      </c>
      <c r="T48" s="23">
        <v>9.1573636131779823E-3</v>
      </c>
      <c r="U48" s="23">
        <v>9.1573636131779823E-3</v>
      </c>
      <c r="V48" s="23">
        <v>9.1573636131779823E-3</v>
      </c>
      <c r="W48" s="23">
        <v>9.1573636131779823E-3</v>
      </c>
      <c r="X48" s="23">
        <v>9.1573636131779823E-3</v>
      </c>
      <c r="Y48" s="23">
        <v>9.1573636131779823E-3</v>
      </c>
      <c r="Z48" s="23">
        <v>9.1573636131779823E-3</v>
      </c>
      <c r="AA48" s="23">
        <v>9.1573636131779823E-3</v>
      </c>
      <c r="AB48" s="23">
        <v>9.1573636131779823E-3</v>
      </c>
      <c r="AC48" s="23">
        <v>9.1573636131779823E-3</v>
      </c>
      <c r="AD48" s="23">
        <v>9.1573636131779823E-3</v>
      </c>
      <c r="AE48" s="23">
        <v>9.1573636131779823E-3</v>
      </c>
      <c r="AF48" s="23">
        <v>9.1573636131779823E-3</v>
      </c>
      <c r="AG48" s="23">
        <v>9.1573636131779823E-3</v>
      </c>
      <c r="AH48" s="23">
        <v>9.1573636131779823E-3</v>
      </c>
    </row>
    <row r="49" spans="1:34">
      <c r="A49" s="24">
        <v>45</v>
      </c>
      <c r="B49" s="25" t="s">
        <v>160</v>
      </c>
      <c r="C49" s="22" t="s">
        <v>161</v>
      </c>
      <c r="D49" s="23">
        <v>0</v>
      </c>
      <c r="E49" s="23">
        <v>6.1311530188326569E-4</v>
      </c>
      <c r="F49" s="23">
        <v>1.2258546933930914E-3</v>
      </c>
      <c r="G49" s="23">
        <v>1.8382184050059758E-3</v>
      </c>
      <c r="H49" s="23">
        <v>2.4502066670568645E-3</v>
      </c>
      <c r="I49" s="23">
        <v>3.0618197097397326E-3</v>
      </c>
      <c r="J49" s="23">
        <v>3.6730577631073347E-3</v>
      </c>
      <c r="K49" s="23">
        <v>4.283921057071427E-3</v>
      </c>
      <c r="L49" s="23">
        <v>4.8944098214024345E-3</v>
      </c>
      <c r="M49" s="23">
        <v>5.5045242857304499E-3</v>
      </c>
      <c r="N49" s="23">
        <v>6.1142646795445676E-3</v>
      </c>
      <c r="O49" s="23">
        <v>6.7236312321931058E-3</v>
      </c>
      <c r="P49" s="23">
        <v>7.3326241728836061E-3</v>
      </c>
      <c r="Q49" s="23">
        <v>7.9412437306835004E-3</v>
      </c>
      <c r="R49" s="23">
        <v>8.5494901345194441E-3</v>
      </c>
      <c r="S49" s="23">
        <v>9.1573636131779823E-3</v>
      </c>
      <c r="T49" s="23">
        <v>9.1573636131779823E-3</v>
      </c>
      <c r="U49" s="23">
        <v>9.1573636131779823E-3</v>
      </c>
      <c r="V49" s="23">
        <v>9.1573636131779823E-3</v>
      </c>
      <c r="W49" s="23">
        <v>9.1573636131779823E-3</v>
      </c>
      <c r="X49" s="23">
        <v>9.1573636131779823E-3</v>
      </c>
      <c r="Y49" s="23">
        <v>9.1573636131779823E-3</v>
      </c>
      <c r="Z49" s="23">
        <v>9.1573636131779823E-3</v>
      </c>
      <c r="AA49" s="23">
        <v>9.1573636131779823E-3</v>
      </c>
      <c r="AB49" s="23">
        <v>9.1573636131779823E-3</v>
      </c>
      <c r="AC49" s="23">
        <v>9.1573636131779823E-3</v>
      </c>
      <c r="AD49" s="23">
        <v>9.1573636131779823E-3</v>
      </c>
      <c r="AE49" s="23">
        <v>9.1573636131779823E-3</v>
      </c>
      <c r="AF49" s="23">
        <v>9.1573636131779823E-3</v>
      </c>
      <c r="AG49" s="23">
        <v>9.1573636131779823E-3</v>
      </c>
      <c r="AH49" s="23">
        <v>9.1573636131779823E-3</v>
      </c>
    </row>
    <row r="50" spans="1:34">
      <c r="A50" s="24">
        <v>46</v>
      </c>
      <c r="B50" s="25" t="s">
        <v>162</v>
      </c>
      <c r="C50" s="22" t="s">
        <v>163</v>
      </c>
      <c r="D50" s="23">
        <v>0</v>
      </c>
      <c r="E50" s="23">
        <v>6.1311530188326569E-4</v>
      </c>
      <c r="F50" s="23">
        <v>1.2258546933930914E-3</v>
      </c>
      <c r="G50" s="23">
        <v>1.8382184050059758E-3</v>
      </c>
      <c r="H50" s="23">
        <v>2.4502066670568645E-3</v>
      </c>
      <c r="I50" s="23">
        <v>3.0618197097397326E-3</v>
      </c>
      <c r="J50" s="23">
        <v>3.6730577631073347E-3</v>
      </c>
      <c r="K50" s="23">
        <v>4.283921057071427E-3</v>
      </c>
      <c r="L50" s="23">
        <v>4.8944098214024345E-3</v>
      </c>
      <c r="M50" s="23">
        <v>5.5045242857304499E-3</v>
      </c>
      <c r="N50" s="23">
        <v>6.1142646795445676E-3</v>
      </c>
      <c r="O50" s="23">
        <v>6.7236312321931058E-3</v>
      </c>
      <c r="P50" s="23">
        <v>7.3326241728836061E-3</v>
      </c>
      <c r="Q50" s="23">
        <v>7.9412437306835004E-3</v>
      </c>
      <c r="R50" s="23">
        <v>8.5494901345194441E-3</v>
      </c>
      <c r="S50" s="23">
        <v>9.1573636131779823E-3</v>
      </c>
      <c r="T50" s="23">
        <v>9.1573636131779823E-3</v>
      </c>
      <c r="U50" s="23">
        <v>9.1573636131779823E-3</v>
      </c>
      <c r="V50" s="23">
        <v>9.1573636131779823E-3</v>
      </c>
      <c r="W50" s="23">
        <v>9.1573636131779823E-3</v>
      </c>
      <c r="X50" s="23">
        <v>9.1573636131779823E-3</v>
      </c>
      <c r="Y50" s="23">
        <v>9.1573636131779823E-3</v>
      </c>
      <c r="Z50" s="23">
        <v>9.1573636131779823E-3</v>
      </c>
      <c r="AA50" s="23">
        <v>9.1573636131779823E-3</v>
      </c>
      <c r="AB50" s="23">
        <v>9.1573636131779823E-3</v>
      </c>
      <c r="AC50" s="23">
        <v>9.1573636131779823E-3</v>
      </c>
      <c r="AD50" s="23">
        <v>9.1573636131779823E-3</v>
      </c>
      <c r="AE50" s="23">
        <v>9.1573636131779823E-3</v>
      </c>
      <c r="AF50" s="23">
        <v>9.1573636131779823E-3</v>
      </c>
      <c r="AG50" s="23">
        <v>9.1573636131779823E-3</v>
      </c>
      <c r="AH50" s="23">
        <v>9.1573636131779823E-3</v>
      </c>
    </row>
    <row r="51" spans="1:34">
      <c r="A51" s="24">
        <v>47</v>
      </c>
      <c r="B51" s="25" t="s">
        <v>164</v>
      </c>
      <c r="C51" s="22" t="s">
        <v>165</v>
      </c>
      <c r="D51" s="23">
        <v>0</v>
      </c>
      <c r="E51" s="23">
        <v>1.9E-3</v>
      </c>
      <c r="F51" s="23">
        <v>3.7963899999999828E-3</v>
      </c>
      <c r="G51" s="23">
        <v>5.6891768589999447E-3</v>
      </c>
      <c r="H51" s="23">
        <v>7.5783674229679132E-3</v>
      </c>
      <c r="I51" s="23">
        <v>9.463968524864308E-3</v>
      </c>
      <c r="J51" s="23">
        <v>1.1345986984667045E-2</v>
      </c>
      <c r="K51" s="23">
        <v>1.3224429609396071E-2</v>
      </c>
      <c r="L51" s="23">
        <v>1.5099303193138347E-2</v>
      </c>
      <c r="M51" s="23">
        <v>1.6970614517071381E-2</v>
      </c>
      <c r="N51" s="23">
        <v>1.8838370349488986E-2</v>
      </c>
      <c r="O51" s="23">
        <v>2.0702577445824821E-2</v>
      </c>
      <c r="P51" s="23">
        <v>2.256324254867792E-2</v>
      </c>
      <c r="Q51" s="23">
        <v>2.4420372387835454E-2</v>
      </c>
      <c r="R51" s="23">
        <v>2.627397368029849E-2</v>
      </c>
      <c r="S51" s="23">
        <v>2.8124053130305859E-2</v>
      </c>
      <c r="T51" s="23">
        <v>2.8124053130305859E-2</v>
      </c>
      <c r="U51" s="23">
        <v>2.8124053130305859E-2</v>
      </c>
      <c r="V51" s="23">
        <v>2.8124053130305859E-2</v>
      </c>
      <c r="W51" s="23">
        <v>2.8124053130305859E-2</v>
      </c>
      <c r="X51" s="23">
        <v>2.8124053130305859E-2</v>
      </c>
      <c r="Y51" s="23">
        <v>2.8124053130305859E-2</v>
      </c>
      <c r="Z51" s="23">
        <v>2.8124053130305859E-2</v>
      </c>
      <c r="AA51" s="23">
        <v>2.8124053130305859E-2</v>
      </c>
      <c r="AB51" s="23">
        <v>2.8124053130305859E-2</v>
      </c>
      <c r="AC51" s="23">
        <v>2.8124053130305859E-2</v>
      </c>
      <c r="AD51" s="23">
        <v>2.8124053130305859E-2</v>
      </c>
      <c r="AE51" s="23">
        <v>2.8124053130305859E-2</v>
      </c>
      <c r="AF51" s="23">
        <v>2.8124053130305859E-2</v>
      </c>
      <c r="AG51" s="23">
        <v>2.8124053130305859E-2</v>
      </c>
      <c r="AH51" s="23">
        <v>2.8124053130305859E-2</v>
      </c>
    </row>
    <row r="52" spans="1:34">
      <c r="A52" s="24">
        <v>48</v>
      </c>
      <c r="B52" s="25" t="s">
        <v>166</v>
      </c>
      <c r="C52" s="22" t="s">
        <v>167</v>
      </c>
      <c r="D52" s="23">
        <v>0</v>
      </c>
      <c r="E52" s="23">
        <v>2.9449283997568551E-3</v>
      </c>
      <c r="F52" s="23">
        <v>5.8811841962340683E-3</v>
      </c>
      <c r="G52" s="23">
        <v>8.8087929296273293E-3</v>
      </c>
      <c r="H52" s="23">
        <v>1.1727780064918147E-2</v>
      </c>
      <c r="I52" s="23">
        <v>1.4638170992095745E-2</v>
      </c>
      <c r="J52" s="23">
        <v>1.7539991026377488E-2</v>
      </c>
      <c r="K52" s="23">
        <v>2.043326540842938E-2</v>
      </c>
      <c r="L52" s="23">
        <v>2.3318019304585214E-2</v>
      </c>
      <c r="M52" s="23">
        <v>2.6194277807065958E-2</v>
      </c>
      <c r="N52" s="23">
        <v>2.9062065934197689E-2</v>
      </c>
      <c r="O52" s="23">
        <v>3.1921408630629422E-2</v>
      </c>
      <c r="P52" s="23">
        <v>3.4772330767549708E-2</v>
      </c>
      <c r="Q52" s="23">
        <v>3.7614857142903468E-2</v>
      </c>
      <c r="R52" s="23">
        <v>4.0449012481607372E-2</v>
      </c>
      <c r="S52" s="23">
        <v>4.327482143576511E-2</v>
      </c>
      <c r="T52" s="23">
        <v>4.327482143576511E-2</v>
      </c>
      <c r="U52" s="23">
        <v>4.327482143576511E-2</v>
      </c>
      <c r="V52" s="23">
        <v>4.327482143576511E-2</v>
      </c>
      <c r="W52" s="23">
        <v>4.327482143576511E-2</v>
      </c>
      <c r="X52" s="23">
        <v>4.327482143576511E-2</v>
      </c>
      <c r="Y52" s="23">
        <v>4.327482143576511E-2</v>
      </c>
      <c r="Z52" s="23">
        <v>4.327482143576511E-2</v>
      </c>
      <c r="AA52" s="23">
        <v>4.327482143576511E-2</v>
      </c>
      <c r="AB52" s="23">
        <v>4.327482143576511E-2</v>
      </c>
      <c r="AC52" s="23">
        <v>4.327482143576511E-2</v>
      </c>
      <c r="AD52" s="23">
        <v>4.327482143576511E-2</v>
      </c>
      <c r="AE52" s="23">
        <v>4.327482143576511E-2</v>
      </c>
      <c r="AF52" s="23">
        <v>4.327482143576511E-2</v>
      </c>
      <c r="AG52" s="23">
        <v>4.327482143576511E-2</v>
      </c>
      <c r="AH52" s="23">
        <v>4.327482143576511E-2</v>
      </c>
    </row>
    <row r="53" spans="1:34">
      <c r="A53" s="24">
        <v>49</v>
      </c>
      <c r="B53" s="25" t="s">
        <v>168</v>
      </c>
      <c r="C53" s="22" t="s">
        <v>169</v>
      </c>
      <c r="D53" s="23">
        <v>0</v>
      </c>
      <c r="E53" s="23">
        <v>2.9449283997568551E-3</v>
      </c>
      <c r="F53" s="23">
        <v>5.8811841962340683E-3</v>
      </c>
      <c r="G53" s="23">
        <v>8.8087929296273293E-3</v>
      </c>
      <c r="H53" s="23">
        <v>1.1727780064918147E-2</v>
      </c>
      <c r="I53" s="23">
        <v>1.4638170992095745E-2</v>
      </c>
      <c r="J53" s="23">
        <v>1.7539991026377488E-2</v>
      </c>
      <c r="K53" s="23">
        <v>2.043326540842938E-2</v>
      </c>
      <c r="L53" s="23">
        <v>2.3318019304585214E-2</v>
      </c>
      <c r="M53" s="23">
        <v>2.6194277807065958E-2</v>
      </c>
      <c r="N53" s="23">
        <v>2.9062065934197689E-2</v>
      </c>
      <c r="O53" s="23">
        <v>3.1921408630629422E-2</v>
      </c>
      <c r="P53" s="23">
        <v>3.4772330767549708E-2</v>
      </c>
      <c r="Q53" s="23">
        <v>3.7614857142903468E-2</v>
      </c>
      <c r="R53" s="23">
        <v>4.0449012481607372E-2</v>
      </c>
      <c r="S53" s="23">
        <v>4.327482143576511E-2</v>
      </c>
      <c r="T53" s="23">
        <v>4.327482143576511E-2</v>
      </c>
      <c r="U53" s="23">
        <v>4.327482143576511E-2</v>
      </c>
      <c r="V53" s="23">
        <v>4.327482143576511E-2</v>
      </c>
      <c r="W53" s="23">
        <v>4.327482143576511E-2</v>
      </c>
      <c r="X53" s="23">
        <v>4.327482143576511E-2</v>
      </c>
      <c r="Y53" s="23">
        <v>4.327482143576511E-2</v>
      </c>
      <c r="Z53" s="23">
        <v>4.327482143576511E-2</v>
      </c>
      <c r="AA53" s="23">
        <v>4.327482143576511E-2</v>
      </c>
      <c r="AB53" s="23">
        <v>4.327482143576511E-2</v>
      </c>
      <c r="AC53" s="23">
        <v>4.327482143576511E-2</v>
      </c>
      <c r="AD53" s="23">
        <v>4.327482143576511E-2</v>
      </c>
      <c r="AE53" s="23">
        <v>4.327482143576511E-2</v>
      </c>
      <c r="AF53" s="23">
        <v>4.327482143576511E-2</v>
      </c>
      <c r="AG53" s="23">
        <v>4.327482143576511E-2</v>
      </c>
      <c r="AH53" s="23">
        <v>4.327482143576511E-2</v>
      </c>
    </row>
    <row r="54" spans="1:34">
      <c r="A54" s="24">
        <v>50</v>
      </c>
      <c r="B54" s="25" t="s">
        <v>170</v>
      </c>
      <c r="C54" s="22" t="s">
        <v>171</v>
      </c>
      <c r="D54" s="23">
        <v>0</v>
      </c>
      <c r="E54" s="23">
        <v>1.1899999999999999E-2</v>
      </c>
      <c r="F54" s="23">
        <v>2.3658390000000029E-2</v>
      </c>
      <c r="G54" s="23">
        <v>3.5276855159000031E-2</v>
      </c>
      <c r="H54" s="23">
        <v>4.6757060582607979E-2</v>
      </c>
      <c r="I54" s="23">
        <v>5.8100651561674987E-2</v>
      </c>
      <c r="J54" s="23">
        <v>6.9309253808091054E-2</v>
      </c>
      <c r="K54" s="23">
        <v>8.0384473687774793E-2</v>
      </c>
      <c r="L54" s="23">
        <v>9.1327898450890288E-2</v>
      </c>
      <c r="M54" s="23">
        <v>0.10214109645932468</v>
      </c>
      <c r="N54" s="23">
        <v>0.1128256174114588</v>
      </c>
      <c r="O54" s="23">
        <v>0.12338299256426244</v>
      </c>
      <c r="P54" s="23">
        <v>0.13381473495274776</v>
      </c>
      <c r="Q54" s="23">
        <v>0.14412233960681009</v>
      </c>
      <c r="R54" s="23">
        <v>0.15430728376548897</v>
      </c>
      <c r="S54" s="23">
        <v>0.16437102708867968</v>
      </c>
      <c r="T54" s="23">
        <v>0.16437102708867968</v>
      </c>
      <c r="U54" s="23">
        <v>0.16437102708867968</v>
      </c>
      <c r="V54" s="23">
        <v>0.16437102708867968</v>
      </c>
      <c r="W54" s="23">
        <v>0.16437102708867968</v>
      </c>
      <c r="X54" s="23">
        <v>0.16437102708867968</v>
      </c>
      <c r="Y54" s="23">
        <v>0.16437102708867968</v>
      </c>
      <c r="Z54" s="23">
        <v>0.16437102708867968</v>
      </c>
      <c r="AA54" s="23">
        <v>0.16437102708867968</v>
      </c>
      <c r="AB54" s="23">
        <v>0.16437102708867968</v>
      </c>
      <c r="AC54" s="23">
        <v>0.16437102708867968</v>
      </c>
      <c r="AD54" s="23">
        <v>0.16437102708867968</v>
      </c>
      <c r="AE54" s="23">
        <v>0.16437102708867968</v>
      </c>
      <c r="AF54" s="23">
        <v>0.16437102708867968</v>
      </c>
      <c r="AG54" s="23">
        <v>0.16437102708867968</v>
      </c>
      <c r="AH54" s="23">
        <v>0.16437102708867968</v>
      </c>
    </row>
    <row r="55" spans="1:34">
      <c r="A55" s="24">
        <v>51</v>
      </c>
      <c r="B55" s="25" t="s">
        <v>172</v>
      </c>
      <c r="C55" s="22" t="s">
        <v>173</v>
      </c>
      <c r="D55" s="23">
        <v>0</v>
      </c>
      <c r="E55" s="23">
        <v>1.1899999999999999E-2</v>
      </c>
      <c r="F55" s="23">
        <v>2.3658390000000029E-2</v>
      </c>
      <c r="G55" s="23">
        <v>3.5276855159000031E-2</v>
      </c>
      <c r="H55" s="23">
        <v>4.6757060582607979E-2</v>
      </c>
      <c r="I55" s="23">
        <v>5.8100651561674987E-2</v>
      </c>
      <c r="J55" s="23">
        <v>6.9309253808091054E-2</v>
      </c>
      <c r="K55" s="23">
        <v>8.0384473687774793E-2</v>
      </c>
      <c r="L55" s="23">
        <v>9.1327898450890288E-2</v>
      </c>
      <c r="M55" s="23">
        <v>0.10214109645932468</v>
      </c>
      <c r="N55" s="23">
        <v>0.1128256174114588</v>
      </c>
      <c r="O55" s="23">
        <v>0.12338299256426244</v>
      </c>
      <c r="P55" s="23">
        <v>0.13381473495274776</v>
      </c>
      <c r="Q55" s="23">
        <v>0.14412233960681009</v>
      </c>
      <c r="R55" s="23">
        <v>0.15430728376548897</v>
      </c>
      <c r="S55" s="23">
        <v>0.16437102708867968</v>
      </c>
      <c r="T55" s="23">
        <v>0.16437102708867968</v>
      </c>
      <c r="U55" s="23">
        <v>0.16437102708867968</v>
      </c>
      <c r="V55" s="23">
        <v>0.16437102708867968</v>
      </c>
      <c r="W55" s="23">
        <v>0.16437102708867968</v>
      </c>
      <c r="X55" s="23">
        <v>0.16437102708867968</v>
      </c>
      <c r="Y55" s="23">
        <v>0.16437102708867968</v>
      </c>
      <c r="Z55" s="23">
        <v>0.16437102708867968</v>
      </c>
      <c r="AA55" s="23">
        <v>0.16437102708867968</v>
      </c>
      <c r="AB55" s="23">
        <v>0.16437102708867968</v>
      </c>
      <c r="AC55" s="23">
        <v>0.16437102708867968</v>
      </c>
      <c r="AD55" s="23">
        <v>0.16437102708867968</v>
      </c>
      <c r="AE55" s="23">
        <v>0.16437102708867968</v>
      </c>
      <c r="AF55" s="23">
        <v>0.16437102708867968</v>
      </c>
      <c r="AG55" s="23">
        <v>0.16437102708867968</v>
      </c>
      <c r="AH55" s="23">
        <v>0.16437102708867968</v>
      </c>
    </row>
    <row r="56" spans="1:34">
      <c r="A56" s="24">
        <v>52</v>
      </c>
      <c r="B56" s="25" t="s">
        <v>174</v>
      </c>
      <c r="C56" s="22" t="s">
        <v>175</v>
      </c>
      <c r="D56" s="23">
        <v>0</v>
      </c>
      <c r="E56" s="23">
        <v>1.1899999999999999E-2</v>
      </c>
      <c r="F56" s="23">
        <v>2.3658390000000029E-2</v>
      </c>
      <c r="G56" s="23">
        <v>3.5276855159000031E-2</v>
      </c>
      <c r="H56" s="23">
        <v>4.6757060582607979E-2</v>
      </c>
      <c r="I56" s="23">
        <v>5.8100651561674987E-2</v>
      </c>
      <c r="J56" s="23">
        <v>6.9309253808091054E-2</v>
      </c>
      <c r="K56" s="23">
        <v>8.0384473687774793E-2</v>
      </c>
      <c r="L56" s="23">
        <v>9.1327898450890288E-2</v>
      </c>
      <c r="M56" s="23">
        <v>0.10214109645932468</v>
      </c>
      <c r="N56" s="23">
        <v>0.1128256174114588</v>
      </c>
      <c r="O56" s="23">
        <v>0.12338299256426244</v>
      </c>
      <c r="P56" s="23">
        <v>0.13381473495274776</v>
      </c>
      <c r="Q56" s="23">
        <v>0.14412233960681009</v>
      </c>
      <c r="R56" s="23">
        <v>0.15430728376548897</v>
      </c>
      <c r="S56" s="23">
        <v>0.16437102708867968</v>
      </c>
      <c r="T56" s="23">
        <v>0.16437102708867968</v>
      </c>
      <c r="U56" s="23">
        <v>0.16437102708867968</v>
      </c>
      <c r="V56" s="23">
        <v>0.16437102708867968</v>
      </c>
      <c r="W56" s="23">
        <v>0.16437102708867968</v>
      </c>
      <c r="X56" s="23">
        <v>0.16437102708867968</v>
      </c>
      <c r="Y56" s="23">
        <v>0.16437102708867968</v>
      </c>
      <c r="Z56" s="23">
        <v>0.16437102708867968</v>
      </c>
      <c r="AA56" s="23">
        <v>0.16437102708867968</v>
      </c>
      <c r="AB56" s="23">
        <v>0.16437102708867968</v>
      </c>
      <c r="AC56" s="23">
        <v>0.16437102708867968</v>
      </c>
      <c r="AD56" s="23">
        <v>0.16437102708867968</v>
      </c>
      <c r="AE56" s="23">
        <v>0.16437102708867968</v>
      </c>
      <c r="AF56" s="23">
        <v>0.16437102708867968</v>
      </c>
      <c r="AG56" s="23">
        <v>0.16437102708867968</v>
      </c>
      <c r="AH56" s="23">
        <v>0.16437102708867968</v>
      </c>
    </row>
    <row r="57" spans="1:34">
      <c r="A57" s="24">
        <v>53</v>
      </c>
      <c r="B57" s="25" t="s">
        <v>176</v>
      </c>
      <c r="C57" s="22" t="s">
        <v>177</v>
      </c>
      <c r="D57" s="23">
        <v>0</v>
      </c>
      <c r="E57" s="23">
        <v>1.1899999999999999E-2</v>
      </c>
      <c r="F57" s="23">
        <v>2.3658390000000029E-2</v>
      </c>
      <c r="G57" s="23">
        <v>3.5276855159000031E-2</v>
      </c>
      <c r="H57" s="23">
        <v>4.6757060582607979E-2</v>
      </c>
      <c r="I57" s="23">
        <v>5.8100651561674987E-2</v>
      </c>
      <c r="J57" s="23">
        <v>6.9309253808091054E-2</v>
      </c>
      <c r="K57" s="23">
        <v>8.0384473687774793E-2</v>
      </c>
      <c r="L57" s="23">
        <v>9.1327898450890288E-2</v>
      </c>
      <c r="M57" s="23">
        <v>0.10214109645932468</v>
      </c>
      <c r="N57" s="23">
        <v>0.1128256174114588</v>
      </c>
      <c r="O57" s="23">
        <v>0.12338299256426244</v>
      </c>
      <c r="P57" s="23">
        <v>0.13381473495274776</v>
      </c>
      <c r="Q57" s="23">
        <v>0.14412233960681009</v>
      </c>
      <c r="R57" s="23">
        <v>0.15430728376548897</v>
      </c>
      <c r="S57" s="23">
        <v>0.16437102708867968</v>
      </c>
      <c r="T57" s="23">
        <v>0.16437102708867968</v>
      </c>
      <c r="U57" s="23">
        <v>0.16437102708867968</v>
      </c>
      <c r="V57" s="23">
        <v>0.16437102708867968</v>
      </c>
      <c r="W57" s="23">
        <v>0.16437102708867968</v>
      </c>
      <c r="X57" s="23">
        <v>0.16437102708867968</v>
      </c>
      <c r="Y57" s="23">
        <v>0.16437102708867968</v>
      </c>
      <c r="Z57" s="23">
        <v>0.16437102708867968</v>
      </c>
      <c r="AA57" s="23">
        <v>0.16437102708867968</v>
      </c>
      <c r="AB57" s="23">
        <v>0.16437102708867968</v>
      </c>
      <c r="AC57" s="23">
        <v>0.16437102708867968</v>
      </c>
      <c r="AD57" s="23">
        <v>0.16437102708867968</v>
      </c>
      <c r="AE57" s="23">
        <v>0.16437102708867968</v>
      </c>
      <c r="AF57" s="23">
        <v>0.16437102708867968</v>
      </c>
      <c r="AG57" s="23">
        <v>0.16437102708867968</v>
      </c>
      <c r="AH57" s="23">
        <v>0.16437102708867968</v>
      </c>
    </row>
    <row r="58" spans="1:34">
      <c r="A58" s="24">
        <v>54</v>
      </c>
      <c r="B58" s="25" t="s">
        <v>178</v>
      </c>
      <c r="C58" s="22" t="s">
        <v>179</v>
      </c>
      <c r="D58" s="23">
        <v>0</v>
      </c>
      <c r="E58" s="23">
        <v>4.0899999999999999E-2</v>
      </c>
      <c r="F58" s="23">
        <v>8.0127190000000126E-2</v>
      </c>
      <c r="G58" s="23">
        <v>0.11774998792900015</v>
      </c>
      <c r="H58" s="23">
        <v>0.15383401342270409</v>
      </c>
      <c r="I58" s="23">
        <v>0.18844220227371555</v>
      </c>
      <c r="J58" s="23">
        <v>0.22163491620072062</v>
      </c>
      <c r="K58" s="23">
        <v>0.25347004812811114</v>
      </c>
      <c r="L58" s="23">
        <v>0.28400312315967147</v>
      </c>
      <c r="M58" s="23">
        <v>0.31328739542244088</v>
      </c>
      <c r="N58" s="23">
        <v>0.34137394094966311</v>
      </c>
      <c r="O58" s="23">
        <v>0.36831174676482192</v>
      </c>
      <c r="P58" s="23">
        <v>0.39414779632214081</v>
      </c>
      <c r="Q58" s="23">
        <v>0.41892715145256521</v>
      </c>
      <c r="R58" s="23">
        <v>0.44269303095815538</v>
      </c>
      <c r="S58" s="23">
        <v>0.46548688599196675</v>
      </c>
      <c r="T58" s="23">
        <v>0.46548688599196675</v>
      </c>
      <c r="U58" s="23">
        <v>0.46548688599196675</v>
      </c>
      <c r="V58" s="23">
        <v>0.46548688599196675</v>
      </c>
      <c r="W58" s="23">
        <v>0.46548688599196675</v>
      </c>
      <c r="X58" s="23">
        <v>0.46548688599196675</v>
      </c>
      <c r="Y58" s="23">
        <v>0.46548688599196675</v>
      </c>
      <c r="Z58" s="23">
        <v>0.46548688599196675</v>
      </c>
      <c r="AA58" s="23">
        <v>0.46548688599196675</v>
      </c>
      <c r="AB58" s="23">
        <v>0.46548688599196675</v>
      </c>
      <c r="AC58" s="23">
        <v>0.46548688599196675</v>
      </c>
      <c r="AD58" s="23">
        <v>0.46548688599196675</v>
      </c>
      <c r="AE58" s="23">
        <v>0.46548688599196675</v>
      </c>
      <c r="AF58" s="23">
        <v>0.46548688599196675</v>
      </c>
      <c r="AG58" s="23">
        <v>0.46548688599196675</v>
      </c>
      <c r="AH58" s="23">
        <v>0.46548688599196675</v>
      </c>
    </row>
    <row r="59" spans="1:34">
      <c r="A59" s="24">
        <v>55</v>
      </c>
      <c r="B59" s="25" t="s">
        <v>180</v>
      </c>
      <c r="C59" s="22" t="s">
        <v>181</v>
      </c>
      <c r="D59" s="23">
        <v>0</v>
      </c>
      <c r="E59" s="23">
        <v>6.8600000000000008E-2</v>
      </c>
      <c r="F59" s="23">
        <v>0.13249403999999998</v>
      </c>
      <c r="G59" s="23">
        <v>0.19200494885599995</v>
      </c>
      <c r="H59" s="23">
        <v>0.24743340936447833</v>
      </c>
      <c r="I59" s="23">
        <v>0.29905947748207506</v>
      </c>
      <c r="J59" s="23">
        <v>0.34714399732680479</v>
      </c>
      <c r="K59" s="23">
        <v>0.39192991911018593</v>
      </c>
      <c r="L59" s="23">
        <v>0.43364352665922712</v>
      </c>
      <c r="M59" s="23">
        <v>0.4724955807304041</v>
      </c>
      <c r="N59" s="23">
        <v>0.50868238389229847</v>
      </c>
      <c r="O59" s="23">
        <v>0.54238677235728672</v>
      </c>
      <c r="P59" s="23">
        <v>0.57377903977357692</v>
      </c>
      <c r="Q59" s="23">
        <v>0.60301779764510943</v>
      </c>
      <c r="R59" s="23">
        <v>0.63025077672665497</v>
      </c>
      <c r="S59" s="23">
        <v>0.65561557344320642</v>
      </c>
      <c r="T59" s="23">
        <v>0.65561557344320642</v>
      </c>
      <c r="U59" s="23">
        <v>0.65561557344320642</v>
      </c>
      <c r="V59" s="23">
        <v>0.65561557344320642</v>
      </c>
      <c r="W59" s="23">
        <v>0.65561557344320642</v>
      </c>
      <c r="X59" s="23">
        <v>0.65561557344320642</v>
      </c>
      <c r="Y59" s="23">
        <v>0.65561557344320642</v>
      </c>
      <c r="Z59" s="23">
        <v>0.65561557344320642</v>
      </c>
      <c r="AA59" s="23">
        <v>0.65561557344320642</v>
      </c>
      <c r="AB59" s="23">
        <v>0.65561557344320642</v>
      </c>
      <c r="AC59" s="23">
        <v>0.65561557344320642</v>
      </c>
      <c r="AD59" s="23">
        <v>0.65561557344320642</v>
      </c>
      <c r="AE59" s="23">
        <v>0.65561557344320642</v>
      </c>
      <c r="AF59" s="23">
        <v>0.65561557344320642</v>
      </c>
      <c r="AG59" s="23">
        <v>0.65561557344320642</v>
      </c>
      <c r="AH59" s="23">
        <v>0.65561557344320642</v>
      </c>
    </row>
    <row r="60" spans="1:34">
      <c r="A60" s="24">
        <v>56</v>
      </c>
      <c r="B60" s="25" t="s">
        <v>182</v>
      </c>
      <c r="C60" s="22" t="s">
        <v>183</v>
      </c>
      <c r="D60" s="23">
        <v>1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</row>
    <row r="61" spans="1:34">
      <c r="A61" s="24">
        <v>57</v>
      </c>
      <c r="B61" s="25" t="s">
        <v>184</v>
      </c>
      <c r="C61" s="22" t="s">
        <v>185</v>
      </c>
      <c r="D61" s="23">
        <v>0</v>
      </c>
      <c r="E61" s="23">
        <v>1.9400000000000001E-2</v>
      </c>
      <c r="F61" s="23">
        <v>3.4099999999999998E-2</v>
      </c>
      <c r="G61" s="23">
        <v>4.7399999999999998E-2</v>
      </c>
      <c r="H61" s="23">
        <v>5.9299999999999999E-2</v>
      </c>
      <c r="I61" s="23">
        <v>7.2599999999999998E-2</v>
      </c>
      <c r="J61" s="23">
        <v>8.6699999999999999E-2</v>
      </c>
      <c r="K61" s="23">
        <v>9.8799999999999999E-2</v>
      </c>
      <c r="L61" s="23">
        <v>0.1118</v>
      </c>
      <c r="M61" s="23">
        <v>0.12429999999999999</v>
      </c>
      <c r="N61" s="23">
        <v>0.1366</v>
      </c>
      <c r="O61" s="23">
        <v>0.14829999999999999</v>
      </c>
      <c r="P61" s="23">
        <v>0.15939999999999999</v>
      </c>
      <c r="Q61" s="23">
        <v>0.17169999999999999</v>
      </c>
      <c r="R61" s="23">
        <v>0.1855</v>
      </c>
      <c r="S61" s="23">
        <v>0.19889999999999999</v>
      </c>
      <c r="T61" s="23">
        <v>0.19889999999999999</v>
      </c>
      <c r="U61" s="23">
        <v>0.19889999999999999</v>
      </c>
      <c r="V61" s="23">
        <v>0.19889999999999999</v>
      </c>
      <c r="W61" s="23">
        <v>0.19889999999999999</v>
      </c>
      <c r="X61" s="23">
        <v>0.19889999999999999</v>
      </c>
      <c r="Y61" s="23">
        <v>0.19889999999999999</v>
      </c>
      <c r="Z61" s="23">
        <v>0.19889999999999999</v>
      </c>
      <c r="AA61" s="23">
        <v>0.19889999999999999</v>
      </c>
      <c r="AB61" s="23">
        <v>0.19889999999999999</v>
      </c>
      <c r="AC61" s="23">
        <v>0.19889999999999999</v>
      </c>
      <c r="AD61" s="23">
        <v>0.19889999999999999</v>
      </c>
      <c r="AE61" s="23">
        <v>0.19889999999999999</v>
      </c>
      <c r="AF61" s="23">
        <v>0.19889999999999999</v>
      </c>
      <c r="AG61" s="23">
        <v>0.19889999999999999</v>
      </c>
      <c r="AH61" s="23">
        <v>0.19889999999999999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F6E0-593B-427F-AC9E-DE52365799FD}">
  <dimension ref="A1:E20"/>
  <sheetViews>
    <sheetView topLeftCell="A2" zoomScale="90" zoomScaleNormal="90" workbookViewId="0">
      <selection activeCell="C39" sqref="C39"/>
    </sheetView>
  </sheetViews>
  <sheetFormatPr defaultColWidth="30.54296875" defaultRowHeight="14.5"/>
  <cols>
    <col min="1" max="1" width="19.54296875" bestFit="1" customWidth="1"/>
    <col min="2" max="4" width="30.54296875" customWidth="1"/>
  </cols>
  <sheetData>
    <row r="1" spans="1:5">
      <c r="A1" s="1" t="s">
        <v>0</v>
      </c>
      <c r="B1" s="9" t="s">
        <v>323</v>
      </c>
      <c r="C1" s="9" t="s">
        <v>463</v>
      </c>
      <c r="D1" s="9" t="s">
        <v>324</v>
      </c>
      <c r="E1" s="9" t="s">
        <v>325</v>
      </c>
    </row>
    <row r="2" spans="1:5" ht="43.5">
      <c r="A2" s="1" t="s">
        <v>32</v>
      </c>
      <c r="B2" s="10" t="s">
        <v>466</v>
      </c>
      <c r="C2" s="10" t="s">
        <v>465</v>
      </c>
      <c r="D2" s="10" t="s">
        <v>326</v>
      </c>
      <c r="E2" s="10" t="s">
        <v>326</v>
      </c>
    </row>
    <row r="3" spans="1:5">
      <c r="A3" s="1" t="s">
        <v>66</v>
      </c>
      <c r="B3" s="9" t="s">
        <v>67</v>
      </c>
      <c r="C3" s="9" t="s">
        <v>67</v>
      </c>
      <c r="D3" s="9" t="s">
        <v>67</v>
      </c>
      <c r="E3" s="9" t="s">
        <v>67</v>
      </c>
    </row>
    <row r="4" spans="1:5">
      <c r="A4" s="1" t="s">
        <v>69</v>
      </c>
      <c r="B4" s="9" t="s">
        <v>327</v>
      </c>
      <c r="C4" s="10" t="s">
        <v>70</v>
      </c>
      <c r="D4" s="9" t="s">
        <v>70</v>
      </c>
      <c r="E4" s="9" t="s">
        <v>70</v>
      </c>
    </row>
    <row r="5" spans="1:5">
      <c r="A5" s="2">
        <f>ROWS($A$4:A4)</f>
        <v>1</v>
      </c>
      <c r="B5" s="3" t="s">
        <v>328</v>
      </c>
      <c r="C5" s="3" t="s">
        <v>329</v>
      </c>
      <c r="D5" s="38" t="s">
        <v>484</v>
      </c>
      <c r="E5" s="17">
        <v>11</v>
      </c>
    </row>
    <row r="6" spans="1:5">
      <c r="A6" s="2">
        <f>ROWS($A$4:A5)</f>
        <v>2</v>
      </c>
      <c r="B6" s="3" t="s">
        <v>329</v>
      </c>
      <c r="C6" s="3" t="s">
        <v>464</v>
      </c>
      <c r="D6" s="38" t="s">
        <v>484</v>
      </c>
      <c r="E6" s="17">
        <v>12</v>
      </c>
    </row>
    <row r="7" spans="1:5">
      <c r="A7" s="2">
        <f>ROWS($A$4:A6)</f>
        <v>3</v>
      </c>
      <c r="B7" s="3" t="s">
        <v>330</v>
      </c>
      <c r="C7" s="3" t="s">
        <v>464</v>
      </c>
      <c r="D7" s="38" t="s">
        <v>484</v>
      </c>
      <c r="E7" s="17">
        <v>21</v>
      </c>
    </row>
    <row r="8" spans="1:5">
      <c r="A8" s="2">
        <f>ROWS($A$4:A7)</f>
        <v>4</v>
      </c>
      <c r="B8" s="3" t="s">
        <v>331</v>
      </c>
      <c r="C8" s="3" t="s">
        <v>464</v>
      </c>
      <c r="D8" s="38" t="s">
        <v>484</v>
      </c>
      <c r="E8" s="17">
        <v>22</v>
      </c>
    </row>
    <row r="9" spans="1:5">
      <c r="A9" s="2">
        <f>ROWS($A$4:A8)</f>
        <v>5</v>
      </c>
      <c r="B9" s="3" t="s">
        <v>332</v>
      </c>
      <c r="C9" s="3" t="s">
        <v>464</v>
      </c>
      <c r="D9" s="36" t="s">
        <v>467</v>
      </c>
      <c r="E9" s="17">
        <v>31</v>
      </c>
    </row>
    <row r="10" spans="1:5">
      <c r="A10" s="2">
        <f>ROWS($A$4:A9)</f>
        <v>6</v>
      </c>
      <c r="B10" s="3" t="s">
        <v>333</v>
      </c>
      <c r="C10" s="3" t="s">
        <v>464</v>
      </c>
      <c r="D10" s="36" t="s">
        <v>467</v>
      </c>
      <c r="E10" s="17">
        <v>32</v>
      </c>
    </row>
    <row r="11" spans="1:5">
      <c r="A11" s="2">
        <f>ROWS($A$4:A10)</f>
        <v>7</v>
      </c>
      <c r="B11" s="3" t="s">
        <v>334</v>
      </c>
      <c r="C11" s="3" t="s">
        <v>464</v>
      </c>
      <c r="D11" s="36" t="s">
        <v>467</v>
      </c>
      <c r="E11" s="17">
        <v>61</v>
      </c>
    </row>
    <row r="12" spans="1:5">
      <c r="A12" s="2">
        <f>ROWS($A$4:A11)</f>
        <v>8</v>
      </c>
      <c r="B12" s="3" t="s">
        <v>335</v>
      </c>
      <c r="C12" s="3" t="s">
        <v>464</v>
      </c>
      <c r="D12" s="36" t="s">
        <v>467</v>
      </c>
      <c r="E12" s="17">
        <f t="shared" ref="E12:E17" si="0">E11+1</f>
        <v>62</v>
      </c>
    </row>
    <row r="13" spans="1:5">
      <c r="A13" s="2">
        <f>ROWS($A$4:A12)</f>
        <v>9</v>
      </c>
      <c r="B13" s="3" t="s">
        <v>336</v>
      </c>
      <c r="C13" s="3" t="s">
        <v>464</v>
      </c>
      <c r="D13" s="38" t="s">
        <v>484</v>
      </c>
      <c r="E13" s="17">
        <f t="shared" si="0"/>
        <v>63</v>
      </c>
    </row>
    <row r="14" spans="1:5">
      <c r="A14" s="2">
        <f>ROWS($A$4:A13)</f>
        <v>10</v>
      </c>
      <c r="B14" s="3" t="s">
        <v>337</v>
      </c>
      <c r="C14" s="3" t="s">
        <v>464</v>
      </c>
      <c r="D14" s="36" t="s">
        <v>467</v>
      </c>
      <c r="E14" s="17">
        <f t="shared" si="0"/>
        <v>64</v>
      </c>
    </row>
    <row r="15" spans="1:5">
      <c r="A15" s="2">
        <f>ROWS($A$4:A14)</f>
        <v>11</v>
      </c>
      <c r="B15" s="3" t="s">
        <v>338</v>
      </c>
      <c r="C15" s="3" t="s">
        <v>464</v>
      </c>
      <c r="D15" s="36" t="s">
        <v>467</v>
      </c>
      <c r="E15" s="17">
        <f t="shared" si="0"/>
        <v>65</v>
      </c>
    </row>
    <row r="16" spans="1:5">
      <c r="A16" s="2">
        <f>ROWS($A$4:A15)</f>
        <v>12</v>
      </c>
      <c r="B16" s="3" t="s">
        <v>339</v>
      </c>
      <c r="C16" s="3" t="s">
        <v>464</v>
      </c>
      <c r="D16" s="38" t="s">
        <v>484</v>
      </c>
      <c r="E16" s="17">
        <f t="shared" si="0"/>
        <v>66</v>
      </c>
    </row>
    <row r="17" spans="1:5">
      <c r="A17" s="2">
        <f>ROWS($A$4:A16)</f>
        <v>13</v>
      </c>
      <c r="B17" s="3" t="s">
        <v>340</v>
      </c>
      <c r="C17" s="3" t="s">
        <v>464</v>
      </c>
      <c r="D17" s="38" t="s">
        <v>484</v>
      </c>
      <c r="E17" s="17">
        <f t="shared" si="0"/>
        <v>67</v>
      </c>
    </row>
    <row r="18" spans="1:5">
      <c r="A18" s="2">
        <f>ROWS($A$4:A17)</f>
        <v>14</v>
      </c>
      <c r="B18" s="3" t="s">
        <v>341</v>
      </c>
      <c r="C18" s="3" t="s">
        <v>464</v>
      </c>
      <c r="D18" s="3" t="s">
        <v>342</v>
      </c>
      <c r="E18" s="17">
        <v>51</v>
      </c>
    </row>
    <row r="19" spans="1:5">
      <c r="A19" s="2">
        <f>ROWS($A$4:A18)</f>
        <v>15</v>
      </c>
      <c r="B19" s="3" t="s">
        <v>343</v>
      </c>
      <c r="C19" s="3" t="s">
        <v>464</v>
      </c>
      <c r="D19" s="3" t="s">
        <v>342</v>
      </c>
      <c r="E19" s="17">
        <v>52</v>
      </c>
    </row>
    <row r="20" spans="1:5">
      <c r="A20" s="2">
        <f>ROWS($A$4:A19)</f>
        <v>16</v>
      </c>
      <c r="B20" s="3" t="s">
        <v>344</v>
      </c>
      <c r="C20" s="3" t="s">
        <v>464</v>
      </c>
      <c r="D20" s="3" t="s">
        <v>342</v>
      </c>
      <c r="E20" s="17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F65B-474F-4B27-A619-F241EAAE776A}">
  <dimension ref="A1:D18"/>
  <sheetViews>
    <sheetView zoomScale="80" zoomScaleNormal="130" workbookViewId="0">
      <pane xSplit="1" ySplit="4" topLeftCell="B5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4" max="4" width="30.54296875" customWidth="1"/>
  </cols>
  <sheetData>
    <row r="1" spans="1:4">
      <c r="A1" s="18" t="s">
        <v>0</v>
      </c>
      <c r="B1" s="19" t="s">
        <v>412</v>
      </c>
      <c r="C1" s="19" t="s">
        <v>314</v>
      </c>
      <c r="D1" s="19" t="s">
        <v>413</v>
      </c>
    </row>
    <row r="2" spans="1:4">
      <c r="A2" s="18" t="s">
        <v>32</v>
      </c>
      <c r="B2" s="20" t="s">
        <v>309</v>
      </c>
      <c r="C2" s="20" t="s">
        <v>308</v>
      </c>
      <c r="D2" s="20" t="s">
        <v>307</v>
      </c>
    </row>
    <row r="3" spans="1:4">
      <c r="A3" s="18" t="s">
        <v>66</v>
      </c>
      <c r="B3" s="19" t="s">
        <v>67</v>
      </c>
      <c r="C3" s="19" t="s">
        <v>68</v>
      </c>
      <c r="D3" s="19" t="s">
        <v>67</v>
      </c>
    </row>
    <row r="4" spans="1:4">
      <c r="A4" s="18" t="s">
        <v>69</v>
      </c>
      <c r="B4" s="19" t="s">
        <v>70</v>
      </c>
      <c r="C4" s="19" t="s">
        <v>70</v>
      </c>
      <c r="D4" s="19" t="s">
        <v>71</v>
      </c>
    </row>
    <row r="5" spans="1:4">
      <c r="A5" s="26">
        <v>1</v>
      </c>
      <c r="B5" s="29" t="s">
        <v>423</v>
      </c>
      <c r="C5" s="32" t="s">
        <v>424</v>
      </c>
      <c r="D5" s="33">
        <v>1.41E-2</v>
      </c>
    </row>
    <row r="6" spans="1:4">
      <c r="A6" s="26">
        <v>2</v>
      </c>
      <c r="B6" s="29" t="s">
        <v>425</v>
      </c>
      <c r="C6" s="32" t="s">
        <v>426</v>
      </c>
      <c r="D6" s="33">
        <v>3.3300000000000003E-2</v>
      </c>
    </row>
    <row r="7" spans="1:4">
      <c r="A7" s="26">
        <v>3</v>
      </c>
      <c r="B7" s="29" t="s">
        <v>427</v>
      </c>
      <c r="C7" s="32" t="s">
        <v>428</v>
      </c>
      <c r="D7" s="33">
        <v>9.7000000000000003E-3</v>
      </c>
    </row>
    <row r="8" spans="1:4">
      <c r="A8" s="26">
        <v>4</v>
      </c>
      <c r="B8" s="29" t="s">
        <v>429</v>
      </c>
      <c r="C8" s="32" t="s">
        <v>430</v>
      </c>
      <c r="D8" s="33">
        <v>1.3599999999999999E-2</v>
      </c>
    </row>
    <row r="9" spans="1:4">
      <c r="A9" s="26">
        <v>5</v>
      </c>
      <c r="B9" s="29" t="s">
        <v>431</v>
      </c>
      <c r="C9" s="32" t="s">
        <v>432</v>
      </c>
      <c r="D9" s="33">
        <v>1.0699999999999999E-2</v>
      </c>
    </row>
    <row r="10" spans="1:4">
      <c r="A10" s="26">
        <v>6</v>
      </c>
      <c r="B10" s="29" t="s">
        <v>433</v>
      </c>
      <c r="C10" s="32" t="s">
        <v>434</v>
      </c>
      <c r="D10" s="33">
        <v>8.2000000000000007E-3</v>
      </c>
    </row>
    <row r="11" spans="1:4">
      <c r="A11" s="26">
        <v>7</v>
      </c>
      <c r="B11" s="29" t="s">
        <v>435</v>
      </c>
      <c r="C11" s="32" t="s">
        <v>436</v>
      </c>
      <c r="D11" s="33">
        <v>1.38E-2</v>
      </c>
    </row>
    <row r="12" spans="1:4">
      <c r="A12" s="26">
        <v>8</v>
      </c>
      <c r="B12" s="29" t="s">
        <v>437</v>
      </c>
      <c r="C12" s="32" t="s">
        <v>438</v>
      </c>
      <c r="D12" s="33">
        <v>8.0999999999999996E-3</v>
      </c>
    </row>
    <row r="13" spans="1:4">
      <c r="A13" s="26">
        <v>9</v>
      </c>
      <c r="B13" s="29" t="s">
        <v>439</v>
      </c>
      <c r="C13" s="32" t="s">
        <v>440</v>
      </c>
      <c r="D13" s="33">
        <v>0.01</v>
      </c>
    </row>
    <row r="14" spans="1:4">
      <c r="A14" s="26">
        <v>10</v>
      </c>
      <c r="B14" s="29" t="s">
        <v>441</v>
      </c>
      <c r="C14" s="32" t="s">
        <v>442</v>
      </c>
      <c r="D14" s="33">
        <v>0.15609999999999999</v>
      </c>
    </row>
    <row r="15" spans="1:4">
      <c r="A15" s="26">
        <v>11</v>
      </c>
      <c r="B15" s="29" t="s">
        <v>443</v>
      </c>
      <c r="C15" s="32" t="s">
        <v>444</v>
      </c>
      <c r="D15" s="33">
        <v>5.1999999999999998E-3</v>
      </c>
    </row>
    <row r="16" spans="1:4">
      <c r="A16" s="26">
        <v>12</v>
      </c>
      <c r="B16" s="29" t="s">
        <v>445</v>
      </c>
      <c r="C16" s="32" t="s">
        <v>446</v>
      </c>
      <c r="D16" s="33">
        <v>7.0000000000000001E-3</v>
      </c>
    </row>
    <row r="17" spans="1:4">
      <c r="A17" s="26">
        <v>13</v>
      </c>
      <c r="B17" s="29" t="s">
        <v>447</v>
      </c>
      <c r="C17" s="32" t="s">
        <v>448</v>
      </c>
      <c r="D17" s="33">
        <v>0.42159999999999997</v>
      </c>
    </row>
    <row r="18" spans="1:4">
      <c r="A18" s="26">
        <v>14</v>
      </c>
      <c r="B18" s="29" t="s">
        <v>410</v>
      </c>
      <c r="C18" s="32" t="s">
        <v>411</v>
      </c>
      <c r="D18" s="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EC87-D61F-4A8E-8C4A-B98C4E32C6B6}">
  <dimension ref="A1:AH61"/>
  <sheetViews>
    <sheetView zoomScale="71" zoomScaleNormal="100" workbookViewId="0">
      <pane xSplit="1" ySplit="4" topLeftCell="B47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2" max="3" width="30.54296875" customWidth="1"/>
    <col min="4" max="34" width="15.54296875" customWidth="1"/>
  </cols>
  <sheetData>
    <row r="1" spans="1:34">
      <c r="A1" s="1" t="s">
        <v>0</v>
      </c>
      <c r="B1" s="9" t="s">
        <v>312</v>
      </c>
      <c r="C1" s="9" t="s">
        <v>311</v>
      </c>
      <c r="D1" s="9" t="s">
        <v>186</v>
      </c>
      <c r="E1" s="9" t="s">
        <v>187</v>
      </c>
      <c r="F1" s="9" t="s">
        <v>188</v>
      </c>
      <c r="G1" s="9" t="s">
        <v>189</v>
      </c>
      <c r="H1" s="9" t="s">
        <v>190</v>
      </c>
      <c r="I1" s="9" t="s">
        <v>191</v>
      </c>
      <c r="J1" s="9" t="s">
        <v>192</v>
      </c>
      <c r="K1" s="9" t="s">
        <v>193</v>
      </c>
      <c r="L1" s="9" t="s">
        <v>194</v>
      </c>
      <c r="M1" s="9" t="s">
        <v>195</v>
      </c>
      <c r="N1" s="9" t="s">
        <v>196</v>
      </c>
      <c r="O1" s="9" t="s">
        <v>197</v>
      </c>
      <c r="P1" s="9" t="s">
        <v>198</v>
      </c>
      <c r="Q1" s="9" t="s">
        <v>199</v>
      </c>
      <c r="R1" s="9" t="s">
        <v>200</v>
      </c>
      <c r="S1" s="9" t="s">
        <v>201</v>
      </c>
      <c r="T1" s="9" t="s">
        <v>202</v>
      </c>
      <c r="U1" s="9" t="s">
        <v>203</v>
      </c>
      <c r="V1" s="9" t="s">
        <v>204</v>
      </c>
      <c r="W1" s="9" t="s">
        <v>205</v>
      </c>
      <c r="X1" s="9" t="s">
        <v>206</v>
      </c>
      <c r="Y1" s="9" t="s">
        <v>207</v>
      </c>
      <c r="Z1" s="9" t="s">
        <v>208</v>
      </c>
      <c r="AA1" s="9" t="s">
        <v>209</v>
      </c>
      <c r="AB1" s="9" t="s">
        <v>210</v>
      </c>
      <c r="AC1" s="9" t="s">
        <v>211</v>
      </c>
      <c r="AD1" s="9" t="s">
        <v>212</v>
      </c>
      <c r="AE1" s="9" t="s">
        <v>213</v>
      </c>
      <c r="AF1" s="9" t="s">
        <v>214</v>
      </c>
      <c r="AG1" s="9" t="s">
        <v>215</v>
      </c>
      <c r="AH1" s="9" t="s">
        <v>216</v>
      </c>
    </row>
    <row r="2" spans="1:34" ht="29">
      <c r="A2" s="1" t="s">
        <v>32</v>
      </c>
      <c r="B2" s="9" t="s">
        <v>312</v>
      </c>
      <c r="C2" s="10" t="s">
        <v>217</v>
      </c>
      <c r="D2" s="10" t="s">
        <v>218</v>
      </c>
      <c r="E2" s="10" t="s">
        <v>219</v>
      </c>
      <c r="F2" s="10" t="s">
        <v>220</v>
      </c>
      <c r="G2" s="10" t="s">
        <v>221</v>
      </c>
      <c r="H2" s="10" t="s">
        <v>222</v>
      </c>
      <c r="I2" s="10" t="s">
        <v>223</v>
      </c>
      <c r="J2" s="10" t="s">
        <v>224</v>
      </c>
      <c r="K2" s="10" t="s">
        <v>225</v>
      </c>
      <c r="L2" s="10" t="s">
        <v>226</v>
      </c>
      <c r="M2" s="10" t="s">
        <v>227</v>
      </c>
      <c r="N2" s="10" t="s">
        <v>228</v>
      </c>
      <c r="O2" s="10" t="s">
        <v>229</v>
      </c>
      <c r="P2" s="10" t="s">
        <v>230</v>
      </c>
      <c r="Q2" s="10" t="s">
        <v>231</v>
      </c>
      <c r="R2" s="10" t="s">
        <v>232</v>
      </c>
      <c r="S2" s="10" t="s">
        <v>233</v>
      </c>
      <c r="T2" s="10" t="s">
        <v>234</v>
      </c>
      <c r="U2" s="10" t="s">
        <v>235</v>
      </c>
      <c r="V2" s="10" t="s">
        <v>236</v>
      </c>
      <c r="W2" s="10" t="s">
        <v>237</v>
      </c>
      <c r="X2" s="10" t="s">
        <v>238</v>
      </c>
      <c r="Y2" s="10" t="s">
        <v>239</v>
      </c>
      <c r="Z2" s="10" t="s">
        <v>240</v>
      </c>
      <c r="AA2" s="10" t="s">
        <v>241</v>
      </c>
      <c r="AB2" s="10" t="s">
        <v>242</v>
      </c>
      <c r="AC2" s="10" t="s">
        <v>243</v>
      </c>
      <c r="AD2" s="10" t="s">
        <v>244</v>
      </c>
      <c r="AE2" s="10" t="s">
        <v>245</v>
      </c>
      <c r="AF2" s="10" t="s">
        <v>246</v>
      </c>
      <c r="AG2" s="10" t="s">
        <v>247</v>
      </c>
      <c r="AH2" s="10" t="s">
        <v>248</v>
      </c>
    </row>
    <row r="3" spans="1:34">
      <c r="A3" s="1" t="s">
        <v>66</v>
      </c>
      <c r="B3" s="10" t="s">
        <v>67</v>
      </c>
      <c r="C3" s="10" t="s">
        <v>68</v>
      </c>
      <c r="D3" s="10" t="s">
        <v>67</v>
      </c>
      <c r="E3" s="10" t="s">
        <v>67</v>
      </c>
      <c r="F3" s="10" t="s">
        <v>67</v>
      </c>
      <c r="G3" s="10" t="s">
        <v>67</v>
      </c>
      <c r="H3" s="10" t="s">
        <v>67</v>
      </c>
      <c r="I3" s="10" t="s">
        <v>67</v>
      </c>
      <c r="J3" s="10" t="s">
        <v>67</v>
      </c>
      <c r="K3" s="10" t="s">
        <v>67</v>
      </c>
      <c r="L3" s="10" t="s">
        <v>67</v>
      </c>
      <c r="M3" s="10" t="s">
        <v>67</v>
      </c>
      <c r="N3" s="10" t="s">
        <v>67</v>
      </c>
      <c r="O3" s="10" t="s">
        <v>67</v>
      </c>
      <c r="P3" s="10" t="s">
        <v>67</v>
      </c>
      <c r="Q3" s="10" t="s">
        <v>67</v>
      </c>
      <c r="R3" s="10" t="s">
        <v>67</v>
      </c>
      <c r="S3" s="10" t="s">
        <v>67</v>
      </c>
      <c r="T3" s="10" t="s">
        <v>67</v>
      </c>
      <c r="U3" s="10" t="s">
        <v>67</v>
      </c>
      <c r="V3" s="10" t="s">
        <v>67</v>
      </c>
      <c r="W3" s="10" t="s">
        <v>67</v>
      </c>
      <c r="X3" s="10" t="s">
        <v>67</v>
      </c>
      <c r="Y3" s="10" t="s">
        <v>67</v>
      </c>
      <c r="Z3" s="10" t="s">
        <v>67</v>
      </c>
      <c r="AA3" s="10" t="s">
        <v>67</v>
      </c>
      <c r="AB3" s="10" t="s">
        <v>67</v>
      </c>
      <c r="AC3" s="10" t="s">
        <v>67</v>
      </c>
      <c r="AD3" s="10" t="s">
        <v>67</v>
      </c>
      <c r="AE3" s="10" t="s">
        <v>67</v>
      </c>
      <c r="AF3" s="10" t="s">
        <v>67</v>
      </c>
      <c r="AG3" s="10" t="s">
        <v>67</v>
      </c>
      <c r="AH3" s="10" t="s">
        <v>67</v>
      </c>
    </row>
    <row r="4" spans="1:34">
      <c r="A4" s="1" t="s">
        <v>69</v>
      </c>
      <c r="B4" s="9" t="s">
        <v>327</v>
      </c>
      <c r="C4" s="9" t="s">
        <v>70</v>
      </c>
      <c r="D4" s="9" t="s">
        <v>71</v>
      </c>
      <c r="E4" s="9" t="s">
        <v>71</v>
      </c>
      <c r="F4" s="9" t="s">
        <v>71</v>
      </c>
      <c r="G4" s="9" t="s">
        <v>71</v>
      </c>
      <c r="H4" s="9" t="s">
        <v>71</v>
      </c>
      <c r="I4" s="9" t="s">
        <v>71</v>
      </c>
      <c r="J4" s="9" t="s">
        <v>71</v>
      </c>
      <c r="K4" s="9" t="s">
        <v>71</v>
      </c>
      <c r="L4" s="9" t="s">
        <v>71</v>
      </c>
      <c r="M4" s="9" t="s">
        <v>71</v>
      </c>
      <c r="N4" s="9" t="s">
        <v>71</v>
      </c>
      <c r="O4" s="9" t="s">
        <v>71</v>
      </c>
      <c r="P4" s="9" t="s">
        <v>71</v>
      </c>
      <c r="Q4" s="9" t="s">
        <v>71</v>
      </c>
      <c r="R4" s="9" t="s">
        <v>71</v>
      </c>
      <c r="S4" s="9" t="s">
        <v>71</v>
      </c>
      <c r="T4" s="9" t="s">
        <v>71</v>
      </c>
      <c r="U4" s="9" t="s">
        <v>71</v>
      </c>
      <c r="V4" s="9" t="s">
        <v>71</v>
      </c>
      <c r="W4" s="9" t="s">
        <v>71</v>
      </c>
      <c r="X4" s="9" t="s">
        <v>71</v>
      </c>
      <c r="Y4" s="9" t="s">
        <v>71</v>
      </c>
      <c r="Z4" s="9" t="s">
        <v>71</v>
      </c>
      <c r="AA4" s="9" t="s">
        <v>71</v>
      </c>
      <c r="AB4" s="9" t="s">
        <v>71</v>
      </c>
      <c r="AC4" s="9" t="s">
        <v>71</v>
      </c>
      <c r="AD4" s="9" t="s">
        <v>71</v>
      </c>
      <c r="AE4" s="9" t="s">
        <v>71</v>
      </c>
      <c r="AF4" s="9" t="s">
        <v>71</v>
      </c>
      <c r="AG4" s="9" t="s">
        <v>71</v>
      </c>
      <c r="AH4" s="9" t="s">
        <v>71</v>
      </c>
    </row>
    <row r="5" spans="1:34">
      <c r="A5" s="4">
        <f>ROWS($A$4:A4)</f>
        <v>1</v>
      </c>
      <c r="B5" s="5" t="s">
        <v>345</v>
      </c>
      <c r="C5" s="22" t="s">
        <v>73</v>
      </c>
      <c r="D5" s="6">
        <v>0.6</v>
      </c>
      <c r="E5" s="6">
        <v>0.6</v>
      </c>
      <c r="F5" s="6">
        <v>0.6</v>
      </c>
      <c r="G5" s="6">
        <v>0.6</v>
      </c>
      <c r="H5" s="6">
        <v>0.6</v>
      </c>
      <c r="I5" s="6">
        <v>0.6</v>
      </c>
      <c r="J5" s="6">
        <v>0.6</v>
      </c>
      <c r="K5" s="6">
        <v>0.6</v>
      </c>
      <c r="L5" s="6">
        <v>0.6</v>
      </c>
      <c r="M5" s="6">
        <v>0.6</v>
      </c>
      <c r="N5" s="6">
        <v>0.6</v>
      </c>
      <c r="O5" s="6">
        <v>0.6</v>
      </c>
      <c r="P5" s="6">
        <v>0.6</v>
      </c>
      <c r="Q5" s="6">
        <v>0.6</v>
      </c>
      <c r="R5" s="6">
        <v>0.6</v>
      </c>
      <c r="S5" s="6">
        <v>0.6</v>
      </c>
      <c r="T5" s="6">
        <v>0.6</v>
      </c>
      <c r="U5" s="6">
        <v>0.6</v>
      </c>
      <c r="V5" s="6">
        <v>0.6</v>
      </c>
      <c r="W5" s="6">
        <v>0.6</v>
      </c>
      <c r="X5" s="6">
        <v>0.6</v>
      </c>
      <c r="Y5" s="6">
        <v>0.6</v>
      </c>
      <c r="Z5" s="6">
        <v>0.6</v>
      </c>
      <c r="AA5" s="6">
        <v>0.6</v>
      </c>
      <c r="AB5" s="6">
        <v>0.6</v>
      </c>
      <c r="AC5" s="6">
        <v>0.6</v>
      </c>
      <c r="AD5" s="6">
        <v>0.6</v>
      </c>
      <c r="AE5" s="6">
        <v>0.6</v>
      </c>
      <c r="AF5" s="6">
        <v>0.6</v>
      </c>
      <c r="AG5" s="6">
        <v>0.6</v>
      </c>
      <c r="AH5" s="6">
        <v>0.6</v>
      </c>
    </row>
    <row r="6" spans="1:34">
      <c r="A6" s="7">
        <f>ROWS($A$4:A5)</f>
        <v>2</v>
      </c>
      <c r="B6" s="8" t="s">
        <v>346</v>
      </c>
      <c r="C6" s="22" t="s">
        <v>75</v>
      </c>
      <c r="D6" s="6">
        <v>0.6</v>
      </c>
      <c r="E6" s="6">
        <v>0.6</v>
      </c>
      <c r="F6" s="6">
        <v>0.6</v>
      </c>
      <c r="G6" s="6">
        <v>0.6</v>
      </c>
      <c r="H6" s="6">
        <v>0.6</v>
      </c>
      <c r="I6" s="6">
        <v>0.6</v>
      </c>
      <c r="J6" s="6">
        <v>0.6</v>
      </c>
      <c r="K6" s="6">
        <v>0.6</v>
      </c>
      <c r="L6" s="6">
        <v>0.6</v>
      </c>
      <c r="M6" s="6">
        <v>0.6</v>
      </c>
      <c r="N6" s="6">
        <v>0.6</v>
      </c>
      <c r="O6" s="6">
        <v>0.6</v>
      </c>
      <c r="P6" s="6">
        <v>0.6</v>
      </c>
      <c r="Q6" s="6">
        <v>0.6</v>
      </c>
      <c r="R6" s="6">
        <v>0.6</v>
      </c>
      <c r="S6" s="6">
        <v>0.6</v>
      </c>
      <c r="T6" s="6">
        <v>0.6</v>
      </c>
      <c r="U6" s="6">
        <v>0.6</v>
      </c>
      <c r="V6" s="6">
        <v>0.6</v>
      </c>
      <c r="W6" s="6">
        <v>0.6</v>
      </c>
      <c r="X6" s="6">
        <v>0.6</v>
      </c>
      <c r="Y6" s="6">
        <v>0.6</v>
      </c>
      <c r="Z6" s="6">
        <v>0.6</v>
      </c>
      <c r="AA6" s="6">
        <v>0.6</v>
      </c>
      <c r="AB6" s="6">
        <v>0.6</v>
      </c>
      <c r="AC6" s="6">
        <v>0.6</v>
      </c>
      <c r="AD6" s="6">
        <v>0.6</v>
      </c>
      <c r="AE6" s="6">
        <v>0.6</v>
      </c>
      <c r="AF6" s="6">
        <v>0.6</v>
      </c>
      <c r="AG6" s="6">
        <v>0.6</v>
      </c>
      <c r="AH6" s="6">
        <v>0.6</v>
      </c>
    </row>
    <row r="7" spans="1:34">
      <c r="A7" s="7">
        <f>ROWS($A$4:A6)</f>
        <v>3</v>
      </c>
      <c r="B7" s="8" t="s">
        <v>347</v>
      </c>
      <c r="C7" s="22" t="s">
        <v>77</v>
      </c>
      <c r="D7" s="6">
        <v>0.6</v>
      </c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  <c r="L7" s="6">
        <v>0.6</v>
      </c>
      <c r="M7" s="6">
        <v>0.6</v>
      </c>
      <c r="N7" s="6">
        <v>0.6</v>
      </c>
      <c r="O7" s="6">
        <v>0.6</v>
      </c>
      <c r="P7" s="6">
        <v>0.6</v>
      </c>
      <c r="Q7" s="6">
        <v>0.6</v>
      </c>
      <c r="R7" s="6">
        <v>0.6</v>
      </c>
      <c r="S7" s="6">
        <v>0.6</v>
      </c>
      <c r="T7" s="6">
        <v>0.6</v>
      </c>
      <c r="U7" s="6">
        <v>0.6</v>
      </c>
      <c r="V7" s="6">
        <v>0.6</v>
      </c>
      <c r="W7" s="6">
        <v>0.6</v>
      </c>
      <c r="X7" s="6">
        <v>0.6</v>
      </c>
      <c r="Y7" s="6">
        <v>0.6</v>
      </c>
      <c r="Z7" s="6">
        <v>0.6</v>
      </c>
      <c r="AA7" s="6">
        <v>0.6</v>
      </c>
      <c r="AB7" s="6">
        <v>0.6</v>
      </c>
      <c r="AC7" s="6">
        <v>0.6</v>
      </c>
      <c r="AD7" s="6">
        <v>0.6</v>
      </c>
      <c r="AE7" s="6">
        <v>0.6</v>
      </c>
      <c r="AF7" s="6">
        <v>0.6</v>
      </c>
      <c r="AG7" s="6">
        <v>0.6</v>
      </c>
      <c r="AH7" s="6">
        <v>0.6</v>
      </c>
    </row>
    <row r="8" spans="1:34">
      <c r="A8" s="7">
        <f>ROWS($A$4:A7)</f>
        <v>4</v>
      </c>
      <c r="B8" s="8" t="s">
        <v>348</v>
      </c>
      <c r="C8" s="22" t="s">
        <v>79</v>
      </c>
      <c r="D8" s="6">
        <v>0.60329999999999995</v>
      </c>
      <c r="E8" s="6">
        <v>0.60329999999999995</v>
      </c>
      <c r="F8" s="6">
        <v>0.60329999999999995</v>
      </c>
      <c r="G8" s="6">
        <v>0.60329999999999995</v>
      </c>
      <c r="H8" s="6">
        <v>0.60329999999999995</v>
      </c>
      <c r="I8" s="6">
        <v>0.60329999999999995</v>
      </c>
      <c r="J8" s="6">
        <v>0.60329999999999995</v>
      </c>
      <c r="K8" s="6">
        <v>0.60329999999999995</v>
      </c>
      <c r="L8" s="6">
        <v>0.60329999999999995</v>
      </c>
      <c r="M8" s="6">
        <v>0.60329999999999995</v>
      </c>
      <c r="N8" s="6">
        <v>0.60329999999999995</v>
      </c>
      <c r="O8" s="6">
        <v>0.60329999999999995</v>
      </c>
      <c r="P8" s="6">
        <v>0.60329999999999995</v>
      </c>
      <c r="Q8" s="6">
        <v>0.60329999999999995</v>
      </c>
      <c r="R8" s="6">
        <v>0.60329999999999995</v>
      </c>
      <c r="S8" s="6">
        <v>0.60329999999999995</v>
      </c>
      <c r="T8" s="6">
        <v>0.60329999999999995</v>
      </c>
      <c r="U8" s="6">
        <v>0.60329999999999995</v>
      </c>
      <c r="V8" s="6">
        <v>0.60329999999999995</v>
      </c>
      <c r="W8" s="6">
        <v>0.60329999999999995</v>
      </c>
      <c r="X8" s="6">
        <v>0.60329999999999995</v>
      </c>
      <c r="Y8" s="6">
        <v>0.60329999999999995</v>
      </c>
      <c r="Z8" s="6">
        <v>0.60329999999999995</v>
      </c>
      <c r="AA8" s="6">
        <v>0.60329999999999995</v>
      </c>
      <c r="AB8" s="6">
        <v>0.60329999999999995</v>
      </c>
      <c r="AC8" s="6">
        <v>0.60329999999999995</v>
      </c>
      <c r="AD8" s="6">
        <v>0.60329999999999995</v>
      </c>
      <c r="AE8" s="6">
        <v>0.60329999999999995</v>
      </c>
      <c r="AF8" s="6">
        <v>0.60329999999999995</v>
      </c>
      <c r="AG8" s="6">
        <v>0.60329999999999995</v>
      </c>
      <c r="AH8" s="6">
        <v>0.60329999999999995</v>
      </c>
    </row>
    <row r="9" spans="1:34">
      <c r="A9" s="7">
        <f>ROWS($A$4:A8)</f>
        <v>5</v>
      </c>
      <c r="B9" s="8" t="s">
        <v>349</v>
      </c>
      <c r="C9" s="22" t="s">
        <v>81</v>
      </c>
      <c r="D9" s="6">
        <v>0.60329999999999995</v>
      </c>
      <c r="E9" s="6">
        <v>0.60329999999999995</v>
      </c>
      <c r="F9" s="6">
        <v>0.60329999999999995</v>
      </c>
      <c r="G9" s="6">
        <v>0.60329999999999995</v>
      </c>
      <c r="H9" s="6">
        <v>0.60329999999999995</v>
      </c>
      <c r="I9" s="6">
        <v>0.60329999999999995</v>
      </c>
      <c r="J9" s="6">
        <v>0.60329999999999995</v>
      </c>
      <c r="K9" s="6">
        <v>0.60329999999999995</v>
      </c>
      <c r="L9" s="6">
        <v>0.60329999999999995</v>
      </c>
      <c r="M9" s="6">
        <v>0.60329999999999995</v>
      </c>
      <c r="N9" s="6">
        <v>0.60329999999999995</v>
      </c>
      <c r="O9" s="6">
        <v>0.60329999999999995</v>
      </c>
      <c r="P9" s="6">
        <v>0.60329999999999995</v>
      </c>
      <c r="Q9" s="6">
        <v>0.60329999999999995</v>
      </c>
      <c r="R9" s="6">
        <v>0.60329999999999995</v>
      </c>
      <c r="S9" s="6">
        <v>0.60329999999999995</v>
      </c>
      <c r="T9" s="6">
        <v>0.60329999999999995</v>
      </c>
      <c r="U9" s="6">
        <v>0.60329999999999995</v>
      </c>
      <c r="V9" s="6">
        <v>0.60329999999999995</v>
      </c>
      <c r="W9" s="6">
        <v>0.60329999999999995</v>
      </c>
      <c r="X9" s="6">
        <v>0.60329999999999995</v>
      </c>
      <c r="Y9" s="6">
        <v>0.60329999999999995</v>
      </c>
      <c r="Z9" s="6">
        <v>0.60329999999999995</v>
      </c>
      <c r="AA9" s="6">
        <v>0.60329999999999995</v>
      </c>
      <c r="AB9" s="6">
        <v>0.60329999999999995</v>
      </c>
      <c r="AC9" s="6">
        <v>0.60329999999999995</v>
      </c>
      <c r="AD9" s="6">
        <v>0.60329999999999995</v>
      </c>
      <c r="AE9" s="6">
        <v>0.60329999999999995</v>
      </c>
      <c r="AF9" s="6">
        <v>0.60329999999999995</v>
      </c>
      <c r="AG9" s="6">
        <v>0.60329999999999995</v>
      </c>
      <c r="AH9" s="6">
        <v>0.60329999999999995</v>
      </c>
    </row>
    <row r="10" spans="1:34">
      <c r="A10" s="7">
        <f>ROWS($A$4:A9)</f>
        <v>6</v>
      </c>
      <c r="B10" s="8" t="s">
        <v>350</v>
      </c>
      <c r="C10" s="22" t="s">
        <v>83</v>
      </c>
      <c r="D10" s="6">
        <v>0.60329999999999995</v>
      </c>
      <c r="E10" s="6">
        <v>0.60329999999999995</v>
      </c>
      <c r="F10" s="6">
        <v>0.60329999999999995</v>
      </c>
      <c r="G10" s="6">
        <v>0.60329999999999995</v>
      </c>
      <c r="H10" s="6">
        <v>0.60329999999999995</v>
      </c>
      <c r="I10" s="6">
        <v>0.60329999999999995</v>
      </c>
      <c r="J10" s="6">
        <v>0.60329999999999995</v>
      </c>
      <c r="K10" s="6">
        <v>0.60329999999999995</v>
      </c>
      <c r="L10" s="6">
        <v>0.60329999999999995</v>
      </c>
      <c r="M10" s="6">
        <v>0.60329999999999995</v>
      </c>
      <c r="N10" s="6">
        <v>0.60329999999999995</v>
      </c>
      <c r="O10" s="6">
        <v>0.60329999999999995</v>
      </c>
      <c r="P10" s="6">
        <v>0.60329999999999995</v>
      </c>
      <c r="Q10" s="6">
        <v>0.60329999999999995</v>
      </c>
      <c r="R10" s="6">
        <v>0.60329999999999995</v>
      </c>
      <c r="S10" s="6">
        <v>0.60329999999999995</v>
      </c>
      <c r="T10" s="6">
        <v>0.60329999999999995</v>
      </c>
      <c r="U10" s="6">
        <v>0.60329999999999995</v>
      </c>
      <c r="V10" s="6">
        <v>0.60329999999999995</v>
      </c>
      <c r="W10" s="6">
        <v>0.60329999999999995</v>
      </c>
      <c r="X10" s="6">
        <v>0.60329999999999995</v>
      </c>
      <c r="Y10" s="6">
        <v>0.60329999999999995</v>
      </c>
      <c r="Z10" s="6">
        <v>0.60329999999999995</v>
      </c>
      <c r="AA10" s="6">
        <v>0.60329999999999995</v>
      </c>
      <c r="AB10" s="6">
        <v>0.60329999999999995</v>
      </c>
      <c r="AC10" s="6">
        <v>0.60329999999999995</v>
      </c>
      <c r="AD10" s="6">
        <v>0.60329999999999995</v>
      </c>
      <c r="AE10" s="6">
        <v>0.60329999999999995</v>
      </c>
      <c r="AF10" s="6">
        <v>0.60329999999999995</v>
      </c>
      <c r="AG10" s="6">
        <v>0.60329999999999995</v>
      </c>
      <c r="AH10" s="6">
        <v>0.60329999999999995</v>
      </c>
    </row>
    <row r="11" spans="1:34">
      <c r="A11" s="7">
        <f>ROWS($A$4:A10)</f>
        <v>7</v>
      </c>
      <c r="B11" s="8" t="s">
        <v>351</v>
      </c>
      <c r="C11" s="22" t="s">
        <v>85</v>
      </c>
      <c r="D11" s="6">
        <v>0.60319999999999996</v>
      </c>
      <c r="E11" s="6">
        <v>0.60319999999999996</v>
      </c>
      <c r="F11" s="6">
        <v>0.60319999999999996</v>
      </c>
      <c r="G11" s="6">
        <v>0.60319999999999996</v>
      </c>
      <c r="H11" s="6">
        <v>0.60319999999999996</v>
      </c>
      <c r="I11" s="6">
        <v>0.60319999999999996</v>
      </c>
      <c r="J11" s="6">
        <v>0.60319999999999996</v>
      </c>
      <c r="K11" s="6">
        <v>0.60319999999999996</v>
      </c>
      <c r="L11" s="6">
        <v>0.60319999999999996</v>
      </c>
      <c r="M11" s="6">
        <v>0.60319999999999996</v>
      </c>
      <c r="N11" s="6">
        <v>0.60319999999999996</v>
      </c>
      <c r="O11" s="6">
        <v>0.60319999999999996</v>
      </c>
      <c r="P11" s="6">
        <v>0.60319999999999996</v>
      </c>
      <c r="Q11" s="6">
        <v>0.60319999999999996</v>
      </c>
      <c r="R11" s="6">
        <v>0.60319999999999996</v>
      </c>
      <c r="S11" s="6">
        <v>0.60319999999999996</v>
      </c>
      <c r="T11" s="6">
        <v>0.60319999999999996</v>
      </c>
      <c r="U11" s="6">
        <v>0.60319999999999996</v>
      </c>
      <c r="V11" s="6">
        <v>0.60319999999999996</v>
      </c>
      <c r="W11" s="6">
        <v>0.60319999999999996</v>
      </c>
      <c r="X11" s="6">
        <v>0.60319999999999996</v>
      </c>
      <c r="Y11" s="6">
        <v>0.60319999999999996</v>
      </c>
      <c r="Z11" s="6">
        <v>0.60319999999999996</v>
      </c>
      <c r="AA11" s="6">
        <v>0.60319999999999996</v>
      </c>
      <c r="AB11" s="6">
        <v>0.60319999999999996</v>
      </c>
      <c r="AC11" s="6">
        <v>0.60319999999999996</v>
      </c>
      <c r="AD11" s="6">
        <v>0.60319999999999996</v>
      </c>
      <c r="AE11" s="6">
        <v>0.60319999999999996</v>
      </c>
      <c r="AF11" s="6">
        <v>0.60319999999999996</v>
      </c>
      <c r="AG11" s="6">
        <v>0.60319999999999996</v>
      </c>
      <c r="AH11" s="6">
        <v>0.60319999999999996</v>
      </c>
    </row>
    <row r="12" spans="1:34">
      <c r="A12" s="7">
        <f>ROWS($A$4:A11)</f>
        <v>8</v>
      </c>
      <c r="B12" s="8" t="s">
        <v>352</v>
      </c>
      <c r="C12" s="22" t="s">
        <v>87</v>
      </c>
      <c r="D12" s="6">
        <v>0.60319999999999996</v>
      </c>
      <c r="E12" s="6">
        <v>0.60319999999999996</v>
      </c>
      <c r="F12" s="6">
        <v>0.60319999999999996</v>
      </c>
      <c r="G12" s="6">
        <v>0.60319999999999996</v>
      </c>
      <c r="H12" s="6">
        <v>0.60319999999999996</v>
      </c>
      <c r="I12" s="6">
        <v>0.60319999999999996</v>
      </c>
      <c r="J12" s="6">
        <v>0.60319999999999996</v>
      </c>
      <c r="K12" s="6">
        <v>0.60319999999999996</v>
      </c>
      <c r="L12" s="6">
        <v>0.60319999999999996</v>
      </c>
      <c r="M12" s="6">
        <v>0.60319999999999996</v>
      </c>
      <c r="N12" s="6">
        <v>0.60319999999999996</v>
      </c>
      <c r="O12" s="6">
        <v>0.60319999999999996</v>
      </c>
      <c r="P12" s="6">
        <v>0.60319999999999996</v>
      </c>
      <c r="Q12" s="6">
        <v>0.60319999999999996</v>
      </c>
      <c r="R12" s="6">
        <v>0.60319999999999996</v>
      </c>
      <c r="S12" s="6">
        <v>0.60319999999999996</v>
      </c>
      <c r="T12" s="6">
        <v>0.60319999999999996</v>
      </c>
      <c r="U12" s="6">
        <v>0.60319999999999996</v>
      </c>
      <c r="V12" s="6">
        <v>0.60319999999999996</v>
      </c>
      <c r="W12" s="6">
        <v>0.60319999999999996</v>
      </c>
      <c r="X12" s="6">
        <v>0.60319999999999996</v>
      </c>
      <c r="Y12" s="6">
        <v>0.60319999999999996</v>
      </c>
      <c r="Z12" s="6">
        <v>0.60319999999999996</v>
      </c>
      <c r="AA12" s="6">
        <v>0.60319999999999996</v>
      </c>
      <c r="AB12" s="6">
        <v>0.60319999999999996</v>
      </c>
      <c r="AC12" s="6">
        <v>0.60319999999999996</v>
      </c>
      <c r="AD12" s="6">
        <v>0.60319999999999996</v>
      </c>
      <c r="AE12" s="6">
        <v>0.60319999999999996</v>
      </c>
      <c r="AF12" s="6">
        <v>0.60319999999999996</v>
      </c>
      <c r="AG12" s="6">
        <v>0.60319999999999996</v>
      </c>
      <c r="AH12" s="6">
        <v>0.60319999999999996</v>
      </c>
    </row>
    <row r="13" spans="1:34">
      <c r="A13" s="7">
        <f>ROWS($A$4:A12)</f>
        <v>9</v>
      </c>
      <c r="B13" s="8" t="s">
        <v>353</v>
      </c>
      <c r="C13" s="22" t="s">
        <v>89</v>
      </c>
      <c r="D13" s="6">
        <v>0.60319999999999996</v>
      </c>
      <c r="E13" s="6">
        <v>0.60319999999999996</v>
      </c>
      <c r="F13" s="6">
        <v>0.60319999999999996</v>
      </c>
      <c r="G13" s="6">
        <v>0.60319999999999996</v>
      </c>
      <c r="H13" s="6">
        <v>0.60319999999999996</v>
      </c>
      <c r="I13" s="6">
        <v>0.60319999999999996</v>
      </c>
      <c r="J13" s="6">
        <v>0.60319999999999996</v>
      </c>
      <c r="K13" s="6">
        <v>0.60319999999999996</v>
      </c>
      <c r="L13" s="6">
        <v>0.60319999999999996</v>
      </c>
      <c r="M13" s="6">
        <v>0.60319999999999996</v>
      </c>
      <c r="N13" s="6">
        <v>0.60319999999999996</v>
      </c>
      <c r="O13" s="6">
        <v>0.60319999999999996</v>
      </c>
      <c r="P13" s="6">
        <v>0.60319999999999996</v>
      </c>
      <c r="Q13" s="6">
        <v>0.60319999999999996</v>
      </c>
      <c r="R13" s="6">
        <v>0.60319999999999996</v>
      </c>
      <c r="S13" s="6">
        <v>0.60319999999999996</v>
      </c>
      <c r="T13" s="6">
        <v>0.60319999999999996</v>
      </c>
      <c r="U13" s="6">
        <v>0.60319999999999996</v>
      </c>
      <c r="V13" s="6">
        <v>0.60319999999999996</v>
      </c>
      <c r="W13" s="6">
        <v>0.60319999999999996</v>
      </c>
      <c r="X13" s="6">
        <v>0.60319999999999996</v>
      </c>
      <c r="Y13" s="6">
        <v>0.60319999999999996</v>
      </c>
      <c r="Z13" s="6">
        <v>0.60319999999999996</v>
      </c>
      <c r="AA13" s="6">
        <v>0.60319999999999996</v>
      </c>
      <c r="AB13" s="6">
        <v>0.60319999999999996</v>
      </c>
      <c r="AC13" s="6">
        <v>0.60319999999999996</v>
      </c>
      <c r="AD13" s="6">
        <v>0.60319999999999996</v>
      </c>
      <c r="AE13" s="6">
        <v>0.60319999999999996</v>
      </c>
      <c r="AF13" s="6">
        <v>0.60319999999999996</v>
      </c>
      <c r="AG13" s="6">
        <v>0.60319999999999996</v>
      </c>
      <c r="AH13" s="6">
        <v>0.60319999999999996</v>
      </c>
    </row>
    <row r="14" spans="1:34">
      <c r="A14" s="7">
        <f>ROWS($A$4:A13)</f>
        <v>10</v>
      </c>
      <c r="B14" s="8" t="s">
        <v>354</v>
      </c>
      <c r="C14" s="22" t="s">
        <v>91</v>
      </c>
      <c r="D14" s="6">
        <v>0.623</v>
      </c>
      <c r="E14" s="6">
        <v>0.623</v>
      </c>
      <c r="F14" s="6">
        <v>0.623</v>
      </c>
      <c r="G14" s="6">
        <v>0.623</v>
      </c>
      <c r="H14" s="6">
        <v>0.623</v>
      </c>
      <c r="I14" s="6">
        <v>0.623</v>
      </c>
      <c r="J14" s="6">
        <v>0.623</v>
      </c>
      <c r="K14" s="6">
        <v>0.623</v>
      </c>
      <c r="L14" s="6">
        <v>0.623</v>
      </c>
      <c r="M14" s="6">
        <v>0.623</v>
      </c>
      <c r="N14" s="6">
        <v>0.623</v>
      </c>
      <c r="O14" s="6">
        <v>0.623</v>
      </c>
      <c r="P14" s="6">
        <v>0.623</v>
      </c>
      <c r="Q14" s="6">
        <v>0.623</v>
      </c>
      <c r="R14" s="6">
        <v>0.623</v>
      </c>
      <c r="S14" s="6">
        <v>0.623</v>
      </c>
      <c r="T14" s="6">
        <v>0.623</v>
      </c>
      <c r="U14" s="6">
        <v>0.623</v>
      </c>
      <c r="V14" s="6">
        <v>0.623</v>
      </c>
      <c r="W14" s="6">
        <v>0.623</v>
      </c>
      <c r="X14" s="6">
        <v>0.623</v>
      </c>
      <c r="Y14" s="6">
        <v>0.623</v>
      </c>
      <c r="Z14" s="6">
        <v>0.623</v>
      </c>
      <c r="AA14" s="6">
        <v>0.623</v>
      </c>
      <c r="AB14" s="6">
        <v>0.623</v>
      </c>
      <c r="AC14" s="6">
        <v>0.623</v>
      </c>
      <c r="AD14" s="6">
        <v>0.623</v>
      </c>
      <c r="AE14" s="6">
        <v>0.623</v>
      </c>
      <c r="AF14" s="6">
        <v>0.623</v>
      </c>
      <c r="AG14" s="6">
        <v>0.623</v>
      </c>
      <c r="AH14" s="6">
        <v>0.623</v>
      </c>
    </row>
    <row r="15" spans="1:34">
      <c r="A15" s="7">
        <f>ROWS($A$4:A14)</f>
        <v>11</v>
      </c>
      <c r="B15" s="8" t="s">
        <v>355</v>
      </c>
      <c r="C15" s="22" t="s">
        <v>93</v>
      </c>
      <c r="D15" s="6">
        <v>0.623</v>
      </c>
      <c r="E15" s="6">
        <v>0.623</v>
      </c>
      <c r="F15" s="6">
        <v>0.623</v>
      </c>
      <c r="G15" s="6">
        <v>0.623</v>
      </c>
      <c r="H15" s="6">
        <v>0.623</v>
      </c>
      <c r="I15" s="6">
        <v>0.623</v>
      </c>
      <c r="J15" s="6">
        <v>0.623</v>
      </c>
      <c r="K15" s="6">
        <v>0.623</v>
      </c>
      <c r="L15" s="6">
        <v>0.623</v>
      </c>
      <c r="M15" s="6">
        <v>0.623</v>
      </c>
      <c r="N15" s="6">
        <v>0.623</v>
      </c>
      <c r="O15" s="6">
        <v>0.623</v>
      </c>
      <c r="P15" s="6">
        <v>0.623</v>
      </c>
      <c r="Q15" s="6">
        <v>0.623</v>
      </c>
      <c r="R15" s="6">
        <v>0.623</v>
      </c>
      <c r="S15" s="6">
        <v>0.623</v>
      </c>
      <c r="T15" s="6">
        <v>0.623</v>
      </c>
      <c r="U15" s="6">
        <v>0.623</v>
      </c>
      <c r="V15" s="6">
        <v>0.623</v>
      </c>
      <c r="W15" s="6">
        <v>0.623</v>
      </c>
      <c r="X15" s="6">
        <v>0.623</v>
      </c>
      <c r="Y15" s="6">
        <v>0.623</v>
      </c>
      <c r="Z15" s="6">
        <v>0.623</v>
      </c>
      <c r="AA15" s="6">
        <v>0.623</v>
      </c>
      <c r="AB15" s="6">
        <v>0.623</v>
      </c>
      <c r="AC15" s="6">
        <v>0.623</v>
      </c>
      <c r="AD15" s="6">
        <v>0.623</v>
      </c>
      <c r="AE15" s="6">
        <v>0.623</v>
      </c>
      <c r="AF15" s="6">
        <v>0.623</v>
      </c>
      <c r="AG15" s="6">
        <v>0.623</v>
      </c>
      <c r="AH15" s="6">
        <v>0.623</v>
      </c>
    </row>
    <row r="16" spans="1:34">
      <c r="A16" s="7">
        <f>ROWS($A$4:A15)</f>
        <v>12</v>
      </c>
      <c r="B16" s="8" t="s">
        <v>356</v>
      </c>
      <c r="C16" s="22" t="s">
        <v>95</v>
      </c>
      <c r="D16" s="6">
        <v>0.623</v>
      </c>
      <c r="E16" s="6">
        <v>0.623</v>
      </c>
      <c r="F16" s="6">
        <v>0.623</v>
      </c>
      <c r="G16" s="6">
        <v>0.623</v>
      </c>
      <c r="H16" s="6">
        <v>0.623</v>
      </c>
      <c r="I16" s="6">
        <v>0.623</v>
      </c>
      <c r="J16" s="6">
        <v>0.623</v>
      </c>
      <c r="K16" s="6">
        <v>0.623</v>
      </c>
      <c r="L16" s="6">
        <v>0.623</v>
      </c>
      <c r="M16" s="6">
        <v>0.623</v>
      </c>
      <c r="N16" s="6">
        <v>0.623</v>
      </c>
      <c r="O16" s="6">
        <v>0.623</v>
      </c>
      <c r="P16" s="6">
        <v>0.623</v>
      </c>
      <c r="Q16" s="6">
        <v>0.623</v>
      </c>
      <c r="R16" s="6">
        <v>0.623</v>
      </c>
      <c r="S16" s="6">
        <v>0.623</v>
      </c>
      <c r="T16" s="6">
        <v>0.623</v>
      </c>
      <c r="U16" s="6">
        <v>0.623</v>
      </c>
      <c r="V16" s="6">
        <v>0.623</v>
      </c>
      <c r="W16" s="6">
        <v>0.623</v>
      </c>
      <c r="X16" s="6">
        <v>0.623</v>
      </c>
      <c r="Y16" s="6">
        <v>0.623</v>
      </c>
      <c r="Z16" s="6">
        <v>0.623</v>
      </c>
      <c r="AA16" s="6">
        <v>0.623</v>
      </c>
      <c r="AB16" s="6">
        <v>0.623</v>
      </c>
      <c r="AC16" s="6">
        <v>0.623</v>
      </c>
      <c r="AD16" s="6">
        <v>0.623</v>
      </c>
      <c r="AE16" s="6">
        <v>0.623</v>
      </c>
      <c r="AF16" s="6">
        <v>0.623</v>
      </c>
      <c r="AG16" s="6">
        <v>0.623</v>
      </c>
      <c r="AH16" s="6">
        <v>0.623</v>
      </c>
    </row>
    <row r="17" spans="1:34">
      <c r="A17" s="7">
        <f>ROWS($A$4:A16)</f>
        <v>13</v>
      </c>
      <c r="B17" s="8" t="s">
        <v>357</v>
      </c>
      <c r="C17" s="22" t="s">
        <v>97</v>
      </c>
      <c r="D17" s="6">
        <v>0.65300000000000002</v>
      </c>
      <c r="E17" s="6">
        <v>0.65300000000000002</v>
      </c>
      <c r="F17" s="6">
        <v>0.65300000000000002</v>
      </c>
      <c r="G17" s="6">
        <v>0.65300000000000002</v>
      </c>
      <c r="H17" s="6">
        <v>0.65300000000000002</v>
      </c>
      <c r="I17" s="6">
        <v>0.65300000000000002</v>
      </c>
      <c r="J17" s="6">
        <v>0.65300000000000002</v>
      </c>
      <c r="K17" s="6">
        <v>0.65300000000000002</v>
      </c>
      <c r="L17" s="6">
        <v>0.65300000000000002</v>
      </c>
      <c r="M17" s="6">
        <v>0.65300000000000002</v>
      </c>
      <c r="N17" s="6">
        <v>0.65300000000000002</v>
      </c>
      <c r="O17" s="6">
        <v>0.65300000000000002</v>
      </c>
      <c r="P17" s="6">
        <v>0.65300000000000002</v>
      </c>
      <c r="Q17" s="6">
        <v>0.65300000000000002</v>
      </c>
      <c r="R17" s="6">
        <v>0.65300000000000002</v>
      </c>
      <c r="S17" s="6">
        <v>0.65300000000000002</v>
      </c>
      <c r="T17" s="6">
        <v>0.65300000000000002</v>
      </c>
      <c r="U17" s="6">
        <v>0.65300000000000002</v>
      </c>
      <c r="V17" s="6">
        <v>0.65300000000000002</v>
      </c>
      <c r="W17" s="6">
        <v>0.65300000000000002</v>
      </c>
      <c r="X17" s="6">
        <v>0.65300000000000002</v>
      </c>
      <c r="Y17" s="6">
        <v>0.65300000000000002</v>
      </c>
      <c r="Z17" s="6">
        <v>0.65300000000000002</v>
      </c>
      <c r="AA17" s="6">
        <v>0.65300000000000002</v>
      </c>
      <c r="AB17" s="6">
        <v>0.65300000000000002</v>
      </c>
      <c r="AC17" s="6">
        <v>0.65300000000000002</v>
      </c>
      <c r="AD17" s="6">
        <v>0.65300000000000002</v>
      </c>
      <c r="AE17" s="6">
        <v>0.65300000000000002</v>
      </c>
      <c r="AF17" s="6">
        <v>0.65300000000000002</v>
      </c>
      <c r="AG17" s="6">
        <v>0.65300000000000002</v>
      </c>
      <c r="AH17" s="6">
        <v>0.65300000000000002</v>
      </c>
    </row>
    <row r="18" spans="1:34">
      <c r="A18" s="7">
        <f>ROWS($A$4:A17)</f>
        <v>14</v>
      </c>
      <c r="B18" s="8" t="s">
        <v>358</v>
      </c>
      <c r="C18" s="22" t="s">
        <v>99</v>
      </c>
      <c r="D18" s="6">
        <v>0.65300000000000002</v>
      </c>
      <c r="E18" s="6">
        <v>0.65300000000000002</v>
      </c>
      <c r="F18" s="6">
        <v>0.65300000000000002</v>
      </c>
      <c r="G18" s="6">
        <v>0.65300000000000002</v>
      </c>
      <c r="H18" s="6">
        <v>0.65300000000000002</v>
      </c>
      <c r="I18" s="6">
        <v>0.65300000000000002</v>
      </c>
      <c r="J18" s="6">
        <v>0.65300000000000002</v>
      </c>
      <c r="K18" s="6">
        <v>0.65300000000000002</v>
      </c>
      <c r="L18" s="6">
        <v>0.65300000000000002</v>
      </c>
      <c r="M18" s="6">
        <v>0.65300000000000002</v>
      </c>
      <c r="N18" s="6">
        <v>0.65300000000000002</v>
      </c>
      <c r="O18" s="6">
        <v>0.65300000000000002</v>
      </c>
      <c r="P18" s="6">
        <v>0.65300000000000002</v>
      </c>
      <c r="Q18" s="6">
        <v>0.65300000000000002</v>
      </c>
      <c r="R18" s="6">
        <v>0.65300000000000002</v>
      </c>
      <c r="S18" s="6">
        <v>0.65300000000000002</v>
      </c>
      <c r="T18" s="6">
        <v>0.65300000000000002</v>
      </c>
      <c r="U18" s="6">
        <v>0.65300000000000002</v>
      </c>
      <c r="V18" s="6">
        <v>0.65300000000000002</v>
      </c>
      <c r="W18" s="6">
        <v>0.65300000000000002</v>
      </c>
      <c r="X18" s="6">
        <v>0.65300000000000002</v>
      </c>
      <c r="Y18" s="6">
        <v>0.65300000000000002</v>
      </c>
      <c r="Z18" s="6">
        <v>0.65300000000000002</v>
      </c>
      <c r="AA18" s="6">
        <v>0.65300000000000002</v>
      </c>
      <c r="AB18" s="6">
        <v>0.65300000000000002</v>
      </c>
      <c r="AC18" s="6">
        <v>0.65300000000000002</v>
      </c>
      <c r="AD18" s="6">
        <v>0.65300000000000002</v>
      </c>
      <c r="AE18" s="6">
        <v>0.65300000000000002</v>
      </c>
      <c r="AF18" s="6">
        <v>0.65300000000000002</v>
      </c>
      <c r="AG18" s="6">
        <v>0.65300000000000002</v>
      </c>
      <c r="AH18" s="6">
        <v>0.65300000000000002</v>
      </c>
    </row>
    <row r="19" spans="1:34">
      <c r="A19" s="7">
        <f>ROWS($A$4:A18)</f>
        <v>15</v>
      </c>
      <c r="B19" s="8" t="s">
        <v>359</v>
      </c>
      <c r="C19" s="22" t="s">
        <v>101</v>
      </c>
      <c r="D19" s="6">
        <v>0.65300000000000002</v>
      </c>
      <c r="E19" s="6">
        <v>0.65300000000000002</v>
      </c>
      <c r="F19" s="6">
        <v>0.65300000000000002</v>
      </c>
      <c r="G19" s="6">
        <v>0.65300000000000002</v>
      </c>
      <c r="H19" s="6">
        <v>0.65300000000000002</v>
      </c>
      <c r="I19" s="6">
        <v>0.65300000000000002</v>
      </c>
      <c r="J19" s="6">
        <v>0.65300000000000002</v>
      </c>
      <c r="K19" s="6">
        <v>0.65300000000000002</v>
      </c>
      <c r="L19" s="6">
        <v>0.65300000000000002</v>
      </c>
      <c r="M19" s="6">
        <v>0.65300000000000002</v>
      </c>
      <c r="N19" s="6">
        <v>0.65300000000000002</v>
      </c>
      <c r="O19" s="6">
        <v>0.65300000000000002</v>
      </c>
      <c r="P19" s="6">
        <v>0.65300000000000002</v>
      </c>
      <c r="Q19" s="6">
        <v>0.65300000000000002</v>
      </c>
      <c r="R19" s="6">
        <v>0.65300000000000002</v>
      </c>
      <c r="S19" s="6">
        <v>0.65300000000000002</v>
      </c>
      <c r="T19" s="6">
        <v>0.65300000000000002</v>
      </c>
      <c r="U19" s="6">
        <v>0.65300000000000002</v>
      </c>
      <c r="V19" s="6">
        <v>0.65300000000000002</v>
      </c>
      <c r="W19" s="6">
        <v>0.65300000000000002</v>
      </c>
      <c r="X19" s="6">
        <v>0.65300000000000002</v>
      </c>
      <c r="Y19" s="6">
        <v>0.65300000000000002</v>
      </c>
      <c r="Z19" s="6">
        <v>0.65300000000000002</v>
      </c>
      <c r="AA19" s="6">
        <v>0.65300000000000002</v>
      </c>
      <c r="AB19" s="6">
        <v>0.65300000000000002</v>
      </c>
      <c r="AC19" s="6">
        <v>0.65300000000000002</v>
      </c>
      <c r="AD19" s="6">
        <v>0.65300000000000002</v>
      </c>
      <c r="AE19" s="6">
        <v>0.65300000000000002</v>
      </c>
      <c r="AF19" s="6">
        <v>0.65300000000000002</v>
      </c>
      <c r="AG19" s="6">
        <v>0.65300000000000002</v>
      </c>
      <c r="AH19" s="6">
        <v>0.65300000000000002</v>
      </c>
    </row>
    <row r="20" spans="1:34">
      <c r="A20" s="7">
        <f>ROWS($A$4:A19)</f>
        <v>16</v>
      </c>
      <c r="B20" s="8" t="s">
        <v>360</v>
      </c>
      <c r="C20" s="22" t="s">
        <v>103</v>
      </c>
      <c r="D20" s="6">
        <v>0.84250000000000003</v>
      </c>
      <c r="E20" s="6">
        <v>0.84250000000000003</v>
      </c>
      <c r="F20" s="6">
        <v>0.84250000000000003</v>
      </c>
      <c r="G20" s="6">
        <v>0.84250000000000003</v>
      </c>
      <c r="H20" s="6">
        <v>0.84250000000000003</v>
      </c>
      <c r="I20" s="6">
        <v>0.84250000000000003</v>
      </c>
      <c r="J20" s="6">
        <v>0.84250000000000003</v>
      </c>
      <c r="K20" s="6">
        <v>0.84250000000000003</v>
      </c>
      <c r="L20" s="6">
        <v>0.84250000000000003</v>
      </c>
      <c r="M20" s="6">
        <v>0.84250000000000003</v>
      </c>
      <c r="N20" s="6">
        <v>0.84250000000000003</v>
      </c>
      <c r="O20" s="6">
        <v>0.84250000000000003</v>
      </c>
      <c r="P20" s="6">
        <v>0.84250000000000003</v>
      </c>
      <c r="Q20" s="6">
        <v>0.84250000000000003</v>
      </c>
      <c r="R20" s="6">
        <v>0.84250000000000003</v>
      </c>
      <c r="S20" s="6">
        <v>0.84250000000000003</v>
      </c>
      <c r="T20" s="6">
        <v>0.84250000000000003</v>
      </c>
      <c r="U20" s="6">
        <v>0.84250000000000003</v>
      </c>
      <c r="V20" s="6">
        <v>0.84250000000000003</v>
      </c>
      <c r="W20" s="6">
        <v>0.84250000000000003</v>
      </c>
      <c r="X20" s="6">
        <v>0.84250000000000003</v>
      </c>
      <c r="Y20" s="6">
        <v>0.84250000000000003</v>
      </c>
      <c r="Z20" s="6">
        <v>0.84250000000000003</v>
      </c>
      <c r="AA20" s="6">
        <v>0.84250000000000003</v>
      </c>
      <c r="AB20" s="6">
        <v>0.84250000000000003</v>
      </c>
      <c r="AC20" s="6">
        <v>0.84250000000000003</v>
      </c>
      <c r="AD20" s="6">
        <v>0.84250000000000003</v>
      </c>
      <c r="AE20" s="6">
        <v>0.84250000000000003</v>
      </c>
      <c r="AF20" s="6">
        <v>0.84250000000000003</v>
      </c>
      <c r="AG20" s="6">
        <v>0.84250000000000003</v>
      </c>
      <c r="AH20" s="6">
        <v>0.84250000000000003</v>
      </c>
    </row>
    <row r="21" spans="1:34">
      <c r="A21" s="7">
        <f>ROWS($A$4:A20)</f>
        <v>17</v>
      </c>
      <c r="B21" s="8" t="s">
        <v>361</v>
      </c>
      <c r="C21" s="22" t="s">
        <v>105</v>
      </c>
      <c r="D21" s="6">
        <v>0.84250000000000003</v>
      </c>
      <c r="E21" s="6">
        <v>0.84250000000000003</v>
      </c>
      <c r="F21" s="6">
        <v>0.84250000000000003</v>
      </c>
      <c r="G21" s="6">
        <v>0.84250000000000003</v>
      </c>
      <c r="H21" s="6">
        <v>0.84250000000000003</v>
      </c>
      <c r="I21" s="6">
        <v>0.84250000000000003</v>
      </c>
      <c r="J21" s="6">
        <v>0.84250000000000003</v>
      </c>
      <c r="K21" s="6">
        <v>0.84250000000000003</v>
      </c>
      <c r="L21" s="6">
        <v>0.84250000000000003</v>
      </c>
      <c r="M21" s="6">
        <v>0.84250000000000003</v>
      </c>
      <c r="N21" s="6">
        <v>0.84250000000000003</v>
      </c>
      <c r="O21" s="6">
        <v>0.84250000000000003</v>
      </c>
      <c r="P21" s="6">
        <v>0.84250000000000003</v>
      </c>
      <c r="Q21" s="6">
        <v>0.84250000000000003</v>
      </c>
      <c r="R21" s="6">
        <v>0.84250000000000003</v>
      </c>
      <c r="S21" s="6">
        <v>0.84250000000000003</v>
      </c>
      <c r="T21" s="6">
        <v>0.84250000000000003</v>
      </c>
      <c r="U21" s="6">
        <v>0.84250000000000003</v>
      </c>
      <c r="V21" s="6">
        <v>0.84250000000000003</v>
      </c>
      <c r="W21" s="6">
        <v>0.84250000000000003</v>
      </c>
      <c r="X21" s="6">
        <v>0.84250000000000003</v>
      </c>
      <c r="Y21" s="6">
        <v>0.84250000000000003</v>
      </c>
      <c r="Z21" s="6">
        <v>0.84250000000000003</v>
      </c>
      <c r="AA21" s="6">
        <v>0.84250000000000003</v>
      </c>
      <c r="AB21" s="6">
        <v>0.84250000000000003</v>
      </c>
      <c r="AC21" s="6">
        <v>0.84250000000000003</v>
      </c>
      <c r="AD21" s="6">
        <v>0.84250000000000003</v>
      </c>
      <c r="AE21" s="6">
        <v>0.84250000000000003</v>
      </c>
      <c r="AF21" s="6">
        <v>0.84250000000000003</v>
      </c>
      <c r="AG21" s="6">
        <v>0.84250000000000003</v>
      </c>
      <c r="AH21" s="6">
        <v>0.84250000000000003</v>
      </c>
    </row>
    <row r="22" spans="1:34">
      <c r="A22" s="7">
        <f>ROWS($A$4:A21)</f>
        <v>18</v>
      </c>
      <c r="B22" s="8" t="s">
        <v>362</v>
      </c>
      <c r="C22" s="22" t="s">
        <v>107</v>
      </c>
      <c r="D22" s="6">
        <v>0.84250000000000003</v>
      </c>
      <c r="E22" s="6">
        <v>0.84250000000000003</v>
      </c>
      <c r="F22" s="6">
        <v>0.84250000000000003</v>
      </c>
      <c r="G22" s="6">
        <v>0.84250000000000003</v>
      </c>
      <c r="H22" s="6">
        <v>0.84250000000000003</v>
      </c>
      <c r="I22" s="6">
        <v>0.84250000000000003</v>
      </c>
      <c r="J22" s="6">
        <v>0.84250000000000003</v>
      </c>
      <c r="K22" s="6">
        <v>0.84250000000000003</v>
      </c>
      <c r="L22" s="6">
        <v>0.84250000000000003</v>
      </c>
      <c r="M22" s="6">
        <v>0.84250000000000003</v>
      </c>
      <c r="N22" s="6">
        <v>0.84250000000000003</v>
      </c>
      <c r="O22" s="6">
        <v>0.84250000000000003</v>
      </c>
      <c r="P22" s="6">
        <v>0.84250000000000003</v>
      </c>
      <c r="Q22" s="6">
        <v>0.84250000000000003</v>
      </c>
      <c r="R22" s="6">
        <v>0.84250000000000003</v>
      </c>
      <c r="S22" s="6">
        <v>0.84250000000000003</v>
      </c>
      <c r="T22" s="6">
        <v>0.84250000000000003</v>
      </c>
      <c r="U22" s="6">
        <v>0.84250000000000003</v>
      </c>
      <c r="V22" s="6">
        <v>0.84250000000000003</v>
      </c>
      <c r="W22" s="6">
        <v>0.84250000000000003</v>
      </c>
      <c r="X22" s="6">
        <v>0.84250000000000003</v>
      </c>
      <c r="Y22" s="6">
        <v>0.84250000000000003</v>
      </c>
      <c r="Z22" s="6">
        <v>0.84250000000000003</v>
      </c>
      <c r="AA22" s="6">
        <v>0.84250000000000003</v>
      </c>
      <c r="AB22" s="6">
        <v>0.84250000000000003</v>
      </c>
      <c r="AC22" s="6">
        <v>0.84250000000000003</v>
      </c>
      <c r="AD22" s="6">
        <v>0.84250000000000003</v>
      </c>
      <c r="AE22" s="6">
        <v>0.84250000000000003</v>
      </c>
      <c r="AF22" s="6">
        <v>0.84250000000000003</v>
      </c>
      <c r="AG22" s="6">
        <v>0.84250000000000003</v>
      </c>
      <c r="AH22" s="6">
        <v>0.84250000000000003</v>
      </c>
    </row>
    <row r="23" spans="1:34">
      <c r="A23" s="7">
        <f>ROWS($A$4:A22)</f>
        <v>19</v>
      </c>
      <c r="B23" s="8" t="s">
        <v>450</v>
      </c>
      <c r="C23" s="22" t="s">
        <v>109</v>
      </c>
      <c r="D23" s="6">
        <v>0.84250000000000003</v>
      </c>
      <c r="E23" s="6">
        <v>0.84250000000000003</v>
      </c>
      <c r="F23" s="6">
        <v>0.84250000000000003</v>
      </c>
      <c r="G23" s="6">
        <v>0.84250000000000003</v>
      </c>
      <c r="H23" s="6">
        <v>0.84250000000000003</v>
      </c>
      <c r="I23" s="6">
        <v>0.84250000000000003</v>
      </c>
      <c r="J23" s="6">
        <v>0.84250000000000003</v>
      </c>
      <c r="K23" s="6">
        <v>0.84250000000000003</v>
      </c>
      <c r="L23" s="6">
        <v>0.84250000000000003</v>
      </c>
      <c r="M23" s="6">
        <v>0.84250000000000003</v>
      </c>
      <c r="N23" s="6">
        <v>0.84250000000000003</v>
      </c>
      <c r="O23" s="6">
        <v>0.84250000000000003</v>
      </c>
      <c r="P23" s="6">
        <v>0.84250000000000003</v>
      </c>
      <c r="Q23" s="6">
        <v>0.84250000000000003</v>
      </c>
      <c r="R23" s="6">
        <v>0.84250000000000003</v>
      </c>
      <c r="S23" s="6">
        <v>0.84250000000000003</v>
      </c>
      <c r="T23" s="6">
        <v>0.84250000000000003</v>
      </c>
      <c r="U23" s="6">
        <v>0.84250000000000003</v>
      </c>
      <c r="V23" s="6">
        <v>0.84250000000000003</v>
      </c>
      <c r="W23" s="6">
        <v>0.84250000000000003</v>
      </c>
      <c r="X23" s="6">
        <v>0.84250000000000003</v>
      </c>
      <c r="Y23" s="6">
        <v>0.84250000000000003</v>
      </c>
      <c r="Z23" s="6">
        <v>0.84250000000000003</v>
      </c>
      <c r="AA23" s="6">
        <v>0.84250000000000003</v>
      </c>
      <c r="AB23" s="6">
        <v>0.84250000000000003</v>
      </c>
      <c r="AC23" s="6">
        <v>0.84250000000000003</v>
      </c>
      <c r="AD23" s="6">
        <v>0.84250000000000003</v>
      </c>
      <c r="AE23" s="6">
        <v>0.84250000000000003</v>
      </c>
      <c r="AF23" s="6">
        <v>0.84250000000000003</v>
      </c>
      <c r="AG23" s="6">
        <v>0.84250000000000003</v>
      </c>
      <c r="AH23" s="6">
        <v>0.84250000000000003</v>
      </c>
    </row>
    <row r="24" spans="1:34">
      <c r="A24" s="2">
        <f>ROWS($A$4:A23)</f>
        <v>20</v>
      </c>
      <c r="B24" s="3" t="s">
        <v>363</v>
      </c>
      <c r="C24" s="27" t="s">
        <v>111</v>
      </c>
      <c r="D24" s="34">
        <v>0.6</v>
      </c>
      <c r="E24" s="34">
        <v>0.6</v>
      </c>
      <c r="F24" s="34">
        <v>0.6</v>
      </c>
      <c r="G24" s="34">
        <v>0.6</v>
      </c>
      <c r="H24" s="34">
        <v>0.6</v>
      </c>
      <c r="I24" s="34">
        <v>0.6</v>
      </c>
      <c r="J24" s="34">
        <v>0.6</v>
      </c>
      <c r="K24" s="34">
        <v>0.6</v>
      </c>
      <c r="L24" s="34">
        <v>0.6</v>
      </c>
      <c r="M24" s="34">
        <v>0.6</v>
      </c>
      <c r="N24" s="34">
        <v>0.6</v>
      </c>
      <c r="O24" s="34">
        <v>0.6</v>
      </c>
      <c r="P24" s="34">
        <v>0.6</v>
      </c>
      <c r="Q24" s="34">
        <v>0.6</v>
      </c>
      <c r="R24" s="34">
        <v>0.6</v>
      </c>
      <c r="S24" s="34">
        <v>0.6</v>
      </c>
      <c r="T24" s="34">
        <v>0.6</v>
      </c>
      <c r="U24" s="34">
        <v>0.6</v>
      </c>
      <c r="V24" s="34">
        <v>0.6</v>
      </c>
      <c r="W24" s="34">
        <v>0.6</v>
      </c>
      <c r="X24" s="34">
        <v>0.6</v>
      </c>
      <c r="Y24" s="34">
        <v>0.6</v>
      </c>
      <c r="Z24" s="34">
        <v>0.6</v>
      </c>
      <c r="AA24" s="34">
        <v>0.6</v>
      </c>
      <c r="AB24" s="34">
        <v>0.6</v>
      </c>
      <c r="AC24" s="34">
        <v>0.6</v>
      </c>
      <c r="AD24" s="34">
        <v>0.6</v>
      </c>
      <c r="AE24" s="34">
        <v>0.6</v>
      </c>
      <c r="AF24" s="34">
        <v>0.6</v>
      </c>
      <c r="AG24" s="34">
        <v>0.6</v>
      </c>
      <c r="AH24" s="34">
        <v>0.6</v>
      </c>
    </row>
    <row r="25" spans="1:34">
      <c r="A25" s="2">
        <f>ROWS($A$4:A24)</f>
        <v>21</v>
      </c>
      <c r="B25" s="3" t="s">
        <v>364</v>
      </c>
      <c r="C25" s="27" t="s">
        <v>113</v>
      </c>
      <c r="D25" s="34">
        <v>0.6</v>
      </c>
      <c r="E25" s="34">
        <v>0.6</v>
      </c>
      <c r="F25" s="34">
        <v>0.6</v>
      </c>
      <c r="G25" s="34">
        <v>0.6</v>
      </c>
      <c r="H25" s="34">
        <v>0.6</v>
      </c>
      <c r="I25" s="34">
        <v>0.6</v>
      </c>
      <c r="J25" s="34">
        <v>0.6</v>
      </c>
      <c r="K25" s="34">
        <v>0.6</v>
      </c>
      <c r="L25" s="34">
        <v>0.6</v>
      </c>
      <c r="M25" s="34">
        <v>0.6</v>
      </c>
      <c r="N25" s="34">
        <v>0.6</v>
      </c>
      <c r="O25" s="34">
        <v>0.6</v>
      </c>
      <c r="P25" s="34">
        <v>0.6</v>
      </c>
      <c r="Q25" s="34">
        <v>0.6</v>
      </c>
      <c r="R25" s="34">
        <v>0.6</v>
      </c>
      <c r="S25" s="34">
        <v>0.6</v>
      </c>
      <c r="T25" s="34">
        <v>0.6</v>
      </c>
      <c r="U25" s="34">
        <v>0.6</v>
      </c>
      <c r="V25" s="34">
        <v>0.6</v>
      </c>
      <c r="W25" s="34">
        <v>0.6</v>
      </c>
      <c r="X25" s="34">
        <v>0.6</v>
      </c>
      <c r="Y25" s="34">
        <v>0.6</v>
      </c>
      <c r="Z25" s="34">
        <v>0.6</v>
      </c>
      <c r="AA25" s="34">
        <v>0.6</v>
      </c>
      <c r="AB25" s="34">
        <v>0.6</v>
      </c>
      <c r="AC25" s="34">
        <v>0.6</v>
      </c>
      <c r="AD25" s="34">
        <v>0.6</v>
      </c>
      <c r="AE25" s="34">
        <v>0.6</v>
      </c>
      <c r="AF25" s="34">
        <v>0.6</v>
      </c>
      <c r="AG25" s="34">
        <v>0.6</v>
      </c>
      <c r="AH25" s="34">
        <v>0.6</v>
      </c>
    </row>
    <row r="26" spans="1:34">
      <c r="A26" s="2">
        <f>ROWS($A$4:A25)</f>
        <v>22</v>
      </c>
      <c r="B26" s="3" t="s">
        <v>365</v>
      </c>
      <c r="C26" s="27" t="s">
        <v>115</v>
      </c>
      <c r="D26" s="34">
        <v>0.6</v>
      </c>
      <c r="E26" s="34">
        <v>0.6</v>
      </c>
      <c r="F26" s="34">
        <v>0.6</v>
      </c>
      <c r="G26" s="34">
        <v>0.6</v>
      </c>
      <c r="H26" s="34">
        <v>0.6</v>
      </c>
      <c r="I26" s="34">
        <v>0.6</v>
      </c>
      <c r="J26" s="34">
        <v>0.6</v>
      </c>
      <c r="K26" s="34">
        <v>0.6</v>
      </c>
      <c r="L26" s="34">
        <v>0.6</v>
      </c>
      <c r="M26" s="34">
        <v>0.6</v>
      </c>
      <c r="N26" s="34">
        <v>0.6</v>
      </c>
      <c r="O26" s="34">
        <v>0.6</v>
      </c>
      <c r="P26" s="34">
        <v>0.6</v>
      </c>
      <c r="Q26" s="34">
        <v>0.6</v>
      </c>
      <c r="R26" s="34">
        <v>0.6</v>
      </c>
      <c r="S26" s="34">
        <v>0.6</v>
      </c>
      <c r="T26" s="34">
        <v>0.6</v>
      </c>
      <c r="U26" s="34">
        <v>0.6</v>
      </c>
      <c r="V26" s="34">
        <v>0.6</v>
      </c>
      <c r="W26" s="34">
        <v>0.6</v>
      </c>
      <c r="X26" s="34">
        <v>0.6</v>
      </c>
      <c r="Y26" s="34">
        <v>0.6</v>
      </c>
      <c r="Z26" s="34">
        <v>0.6</v>
      </c>
      <c r="AA26" s="34">
        <v>0.6</v>
      </c>
      <c r="AB26" s="34">
        <v>0.6</v>
      </c>
      <c r="AC26" s="34">
        <v>0.6</v>
      </c>
      <c r="AD26" s="34">
        <v>0.6</v>
      </c>
      <c r="AE26" s="34">
        <v>0.6</v>
      </c>
      <c r="AF26" s="34">
        <v>0.6</v>
      </c>
      <c r="AG26" s="34">
        <v>0.6</v>
      </c>
      <c r="AH26" s="34">
        <v>0.6</v>
      </c>
    </row>
    <row r="27" spans="1:34">
      <c r="A27" s="2">
        <f>ROWS($A$4:A26)</f>
        <v>23</v>
      </c>
      <c r="B27" s="3" t="s">
        <v>366</v>
      </c>
      <c r="C27" s="27" t="s">
        <v>117</v>
      </c>
      <c r="D27" s="34">
        <v>0.60329999999999995</v>
      </c>
      <c r="E27" s="34">
        <v>0.60329999999999995</v>
      </c>
      <c r="F27" s="34">
        <v>0.60329999999999995</v>
      </c>
      <c r="G27" s="34">
        <v>0.60329999999999995</v>
      </c>
      <c r="H27" s="34">
        <v>0.60329999999999995</v>
      </c>
      <c r="I27" s="34">
        <v>0.60329999999999995</v>
      </c>
      <c r="J27" s="34">
        <v>0.60329999999999995</v>
      </c>
      <c r="K27" s="34">
        <v>0.60329999999999995</v>
      </c>
      <c r="L27" s="34">
        <v>0.60329999999999995</v>
      </c>
      <c r="M27" s="34">
        <v>0.60329999999999995</v>
      </c>
      <c r="N27" s="34">
        <v>0.60329999999999995</v>
      </c>
      <c r="O27" s="34">
        <v>0.60329999999999995</v>
      </c>
      <c r="P27" s="34">
        <v>0.60329999999999995</v>
      </c>
      <c r="Q27" s="34">
        <v>0.60329999999999995</v>
      </c>
      <c r="R27" s="34">
        <v>0.60329999999999995</v>
      </c>
      <c r="S27" s="34">
        <v>0.60329999999999995</v>
      </c>
      <c r="T27" s="34">
        <v>0.60329999999999995</v>
      </c>
      <c r="U27" s="34">
        <v>0.60329999999999995</v>
      </c>
      <c r="V27" s="34">
        <v>0.60329999999999995</v>
      </c>
      <c r="W27" s="34">
        <v>0.60329999999999995</v>
      </c>
      <c r="X27" s="34">
        <v>0.60329999999999995</v>
      </c>
      <c r="Y27" s="34">
        <v>0.60329999999999995</v>
      </c>
      <c r="Z27" s="34">
        <v>0.60329999999999995</v>
      </c>
      <c r="AA27" s="34">
        <v>0.60329999999999995</v>
      </c>
      <c r="AB27" s="34">
        <v>0.60329999999999995</v>
      </c>
      <c r="AC27" s="34">
        <v>0.60329999999999995</v>
      </c>
      <c r="AD27" s="34">
        <v>0.60329999999999995</v>
      </c>
      <c r="AE27" s="34">
        <v>0.60329999999999995</v>
      </c>
      <c r="AF27" s="34">
        <v>0.60329999999999995</v>
      </c>
      <c r="AG27" s="34">
        <v>0.60329999999999995</v>
      </c>
      <c r="AH27" s="34">
        <v>0.60329999999999995</v>
      </c>
    </row>
    <row r="28" spans="1:34">
      <c r="A28" s="2">
        <f>ROWS($A$4:A27)</f>
        <v>24</v>
      </c>
      <c r="B28" s="3" t="s">
        <v>367</v>
      </c>
      <c r="C28" s="27" t="s">
        <v>119</v>
      </c>
      <c r="D28" s="34">
        <v>0.60329999999999995</v>
      </c>
      <c r="E28" s="34">
        <v>0.60329999999999995</v>
      </c>
      <c r="F28" s="34">
        <v>0.60329999999999995</v>
      </c>
      <c r="G28" s="34">
        <v>0.60329999999999995</v>
      </c>
      <c r="H28" s="34">
        <v>0.60329999999999995</v>
      </c>
      <c r="I28" s="34">
        <v>0.60329999999999995</v>
      </c>
      <c r="J28" s="34">
        <v>0.60329999999999995</v>
      </c>
      <c r="K28" s="34">
        <v>0.60329999999999995</v>
      </c>
      <c r="L28" s="34">
        <v>0.60329999999999995</v>
      </c>
      <c r="M28" s="34">
        <v>0.60329999999999995</v>
      </c>
      <c r="N28" s="34">
        <v>0.60329999999999995</v>
      </c>
      <c r="O28" s="34">
        <v>0.60329999999999995</v>
      </c>
      <c r="P28" s="34">
        <v>0.60329999999999995</v>
      </c>
      <c r="Q28" s="34">
        <v>0.60329999999999995</v>
      </c>
      <c r="R28" s="34">
        <v>0.60329999999999995</v>
      </c>
      <c r="S28" s="34">
        <v>0.60329999999999995</v>
      </c>
      <c r="T28" s="34">
        <v>0.60329999999999995</v>
      </c>
      <c r="U28" s="34">
        <v>0.60329999999999995</v>
      </c>
      <c r="V28" s="34">
        <v>0.60329999999999995</v>
      </c>
      <c r="W28" s="34">
        <v>0.60329999999999995</v>
      </c>
      <c r="X28" s="34">
        <v>0.60329999999999995</v>
      </c>
      <c r="Y28" s="34">
        <v>0.60329999999999995</v>
      </c>
      <c r="Z28" s="34">
        <v>0.60329999999999995</v>
      </c>
      <c r="AA28" s="34">
        <v>0.60329999999999995</v>
      </c>
      <c r="AB28" s="34">
        <v>0.60329999999999995</v>
      </c>
      <c r="AC28" s="34">
        <v>0.60329999999999995</v>
      </c>
      <c r="AD28" s="34">
        <v>0.60329999999999995</v>
      </c>
      <c r="AE28" s="34">
        <v>0.60329999999999995</v>
      </c>
      <c r="AF28" s="34">
        <v>0.60329999999999995</v>
      </c>
      <c r="AG28" s="34">
        <v>0.60329999999999995</v>
      </c>
      <c r="AH28" s="34">
        <v>0.60329999999999995</v>
      </c>
    </row>
    <row r="29" spans="1:34">
      <c r="A29" s="2">
        <f>ROWS($A$4:A28)</f>
        <v>25</v>
      </c>
      <c r="B29" s="3" t="s">
        <v>368</v>
      </c>
      <c r="C29" s="27" t="s">
        <v>121</v>
      </c>
      <c r="D29" s="34">
        <v>0.60329999999999995</v>
      </c>
      <c r="E29" s="34">
        <v>0.60329999999999995</v>
      </c>
      <c r="F29" s="34">
        <v>0.60329999999999995</v>
      </c>
      <c r="G29" s="34">
        <v>0.60329999999999995</v>
      </c>
      <c r="H29" s="34">
        <v>0.60329999999999995</v>
      </c>
      <c r="I29" s="34">
        <v>0.60329999999999995</v>
      </c>
      <c r="J29" s="34">
        <v>0.60329999999999995</v>
      </c>
      <c r="K29" s="34">
        <v>0.60329999999999995</v>
      </c>
      <c r="L29" s="34">
        <v>0.60329999999999995</v>
      </c>
      <c r="M29" s="34">
        <v>0.60329999999999995</v>
      </c>
      <c r="N29" s="34">
        <v>0.60329999999999995</v>
      </c>
      <c r="O29" s="34">
        <v>0.60329999999999995</v>
      </c>
      <c r="P29" s="34">
        <v>0.60329999999999995</v>
      </c>
      <c r="Q29" s="34">
        <v>0.60329999999999995</v>
      </c>
      <c r="R29" s="34">
        <v>0.60329999999999995</v>
      </c>
      <c r="S29" s="34">
        <v>0.60329999999999995</v>
      </c>
      <c r="T29" s="34">
        <v>0.60329999999999995</v>
      </c>
      <c r="U29" s="34">
        <v>0.60329999999999995</v>
      </c>
      <c r="V29" s="34">
        <v>0.60329999999999995</v>
      </c>
      <c r="W29" s="34">
        <v>0.60329999999999995</v>
      </c>
      <c r="X29" s="34">
        <v>0.60329999999999995</v>
      </c>
      <c r="Y29" s="34">
        <v>0.60329999999999995</v>
      </c>
      <c r="Z29" s="34">
        <v>0.60329999999999995</v>
      </c>
      <c r="AA29" s="34">
        <v>0.60329999999999995</v>
      </c>
      <c r="AB29" s="34">
        <v>0.60329999999999995</v>
      </c>
      <c r="AC29" s="34">
        <v>0.60329999999999995</v>
      </c>
      <c r="AD29" s="34">
        <v>0.60329999999999995</v>
      </c>
      <c r="AE29" s="34">
        <v>0.60329999999999995</v>
      </c>
      <c r="AF29" s="34">
        <v>0.60329999999999995</v>
      </c>
      <c r="AG29" s="34">
        <v>0.60329999999999995</v>
      </c>
      <c r="AH29" s="34">
        <v>0.60329999999999995</v>
      </c>
    </row>
    <row r="30" spans="1:34">
      <c r="A30" s="2">
        <f>ROWS($A$4:A29)</f>
        <v>26</v>
      </c>
      <c r="B30" s="3" t="s">
        <v>369</v>
      </c>
      <c r="C30" s="27" t="s">
        <v>123</v>
      </c>
      <c r="D30" s="34">
        <v>0.60319999999999996</v>
      </c>
      <c r="E30" s="34">
        <v>0.60319999999999996</v>
      </c>
      <c r="F30" s="34">
        <v>0.60319999999999996</v>
      </c>
      <c r="G30" s="34">
        <v>0.60319999999999996</v>
      </c>
      <c r="H30" s="34">
        <v>0.60319999999999996</v>
      </c>
      <c r="I30" s="34">
        <v>0.60319999999999996</v>
      </c>
      <c r="J30" s="34">
        <v>0.60319999999999996</v>
      </c>
      <c r="K30" s="34">
        <v>0.60319999999999996</v>
      </c>
      <c r="L30" s="34">
        <v>0.60319999999999996</v>
      </c>
      <c r="M30" s="34">
        <v>0.60319999999999996</v>
      </c>
      <c r="N30" s="34">
        <v>0.60319999999999996</v>
      </c>
      <c r="O30" s="34">
        <v>0.60319999999999996</v>
      </c>
      <c r="P30" s="34">
        <v>0.60319999999999996</v>
      </c>
      <c r="Q30" s="34">
        <v>0.60319999999999996</v>
      </c>
      <c r="R30" s="34">
        <v>0.60319999999999996</v>
      </c>
      <c r="S30" s="34">
        <v>0.60319999999999996</v>
      </c>
      <c r="T30" s="34">
        <v>0.60319999999999996</v>
      </c>
      <c r="U30" s="34">
        <v>0.60319999999999996</v>
      </c>
      <c r="V30" s="34">
        <v>0.60319999999999996</v>
      </c>
      <c r="W30" s="34">
        <v>0.60319999999999996</v>
      </c>
      <c r="X30" s="34">
        <v>0.60319999999999996</v>
      </c>
      <c r="Y30" s="34">
        <v>0.60319999999999996</v>
      </c>
      <c r="Z30" s="34">
        <v>0.60319999999999996</v>
      </c>
      <c r="AA30" s="34">
        <v>0.60319999999999996</v>
      </c>
      <c r="AB30" s="34">
        <v>0.60319999999999996</v>
      </c>
      <c r="AC30" s="34">
        <v>0.60319999999999996</v>
      </c>
      <c r="AD30" s="34">
        <v>0.60319999999999996</v>
      </c>
      <c r="AE30" s="34">
        <v>0.60319999999999996</v>
      </c>
      <c r="AF30" s="34">
        <v>0.60319999999999996</v>
      </c>
      <c r="AG30" s="34">
        <v>0.60319999999999996</v>
      </c>
      <c r="AH30" s="34">
        <v>0.60319999999999996</v>
      </c>
    </row>
    <row r="31" spans="1:34">
      <c r="A31" s="2">
        <f>ROWS($A$4:A30)</f>
        <v>27</v>
      </c>
      <c r="B31" s="3" t="s">
        <v>370</v>
      </c>
      <c r="C31" s="27" t="s">
        <v>125</v>
      </c>
      <c r="D31" s="34">
        <v>0.60319999999999996</v>
      </c>
      <c r="E31" s="34">
        <v>0.60319999999999996</v>
      </c>
      <c r="F31" s="34">
        <v>0.60319999999999996</v>
      </c>
      <c r="G31" s="34">
        <v>0.60319999999999996</v>
      </c>
      <c r="H31" s="34">
        <v>0.60319999999999996</v>
      </c>
      <c r="I31" s="34">
        <v>0.60319999999999996</v>
      </c>
      <c r="J31" s="34">
        <v>0.60319999999999996</v>
      </c>
      <c r="K31" s="34">
        <v>0.60319999999999996</v>
      </c>
      <c r="L31" s="34">
        <v>0.60319999999999996</v>
      </c>
      <c r="M31" s="34">
        <v>0.60319999999999996</v>
      </c>
      <c r="N31" s="34">
        <v>0.60319999999999996</v>
      </c>
      <c r="O31" s="34">
        <v>0.60319999999999996</v>
      </c>
      <c r="P31" s="34">
        <v>0.60319999999999996</v>
      </c>
      <c r="Q31" s="34">
        <v>0.60319999999999996</v>
      </c>
      <c r="R31" s="34">
        <v>0.60319999999999996</v>
      </c>
      <c r="S31" s="34">
        <v>0.60319999999999996</v>
      </c>
      <c r="T31" s="34">
        <v>0.60319999999999996</v>
      </c>
      <c r="U31" s="34">
        <v>0.60319999999999996</v>
      </c>
      <c r="V31" s="34">
        <v>0.60319999999999996</v>
      </c>
      <c r="W31" s="34">
        <v>0.60319999999999996</v>
      </c>
      <c r="X31" s="34">
        <v>0.60319999999999996</v>
      </c>
      <c r="Y31" s="34">
        <v>0.60319999999999996</v>
      </c>
      <c r="Z31" s="34">
        <v>0.60319999999999996</v>
      </c>
      <c r="AA31" s="34">
        <v>0.60319999999999996</v>
      </c>
      <c r="AB31" s="34">
        <v>0.60319999999999996</v>
      </c>
      <c r="AC31" s="34">
        <v>0.60319999999999996</v>
      </c>
      <c r="AD31" s="34">
        <v>0.60319999999999996</v>
      </c>
      <c r="AE31" s="34">
        <v>0.60319999999999996</v>
      </c>
      <c r="AF31" s="34">
        <v>0.60319999999999996</v>
      </c>
      <c r="AG31" s="34">
        <v>0.60319999999999996</v>
      </c>
      <c r="AH31" s="34">
        <v>0.60319999999999996</v>
      </c>
    </row>
    <row r="32" spans="1:34">
      <c r="A32" s="2">
        <f>ROWS($A$4:A31)</f>
        <v>28</v>
      </c>
      <c r="B32" s="3" t="s">
        <v>371</v>
      </c>
      <c r="C32" s="27" t="s">
        <v>127</v>
      </c>
      <c r="D32" s="34">
        <v>0.60319999999999996</v>
      </c>
      <c r="E32" s="34">
        <v>0.60319999999999996</v>
      </c>
      <c r="F32" s="34">
        <v>0.60319999999999996</v>
      </c>
      <c r="G32" s="34">
        <v>0.60319999999999996</v>
      </c>
      <c r="H32" s="34">
        <v>0.60319999999999996</v>
      </c>
      <c r="I32" s="34">
        <v>0.60319999999999996</v>
      </c>
      <c r="J32" s="34">
        <v>0.60319999999999996</v>
      </c>
      <c r="K32" s="34">
        <v>0.60319999999999996</v>
      </c>
      <c r="L32" s="34">
        <v>0.60319999999999996</v>
      </c>
      <c r="M32" s="34">
        <v>0.60319999999999996</v>
      </c>
      <c r="N32" s="34">
        <v>0.60319999999999996</v>
      </c>
      <c r="O32" s="34">
        <v>0.60319999999999996</v>
      </c>
      <c r="P32" s="34">
        <v>0.60319999999999996</v>
      </c>
      <c r="Q32" s="34">
        <v>0.60319999999999996</v>
      </c>
      <c r="R32" s="34">
        <v>0.60319999999999996</v>
      </c>
      <c r="S32" s="34">
        <v>0.60319999999999996</v>
      </c>
      <c r="T32" s="34">
        <v>0.60319999999999996</v>
      </c>
      <c r="U32" s="34">
        <v>0.60319999999999996</v>
      </c>
      <c r="V32" s="34">
        <v>0.60319999999999996</v>
      </c>
      <c r="W32" s="34">
        <v>0.60319999999999996</v>
      </c>
      <c r="X32" s="34">
        <v>0.60319999999999996</v>
      </c>
      <c r="Y32" s="34">
        <v>0.60319999999999996</v>
      </c>
      <c r="Z32" s="34">
        <v>0.60319999999999996</v>
      </c>
      <c r="AA32" s="34">
        <v>0.60319999999999996</v>
      </c>
      <c r="AB32" s="34">
        <v>0.60319999999999996</v>
      </c>
      <c r="AC32" s="34">
        <v>0.60319999999999996</v>
      </c>
      <c r="AD32" s="34">
        <v>0.60319999999999996</v>
      </c>
      <c r="AE32" s="34">
        <v>0.60319999999999996</v>
      </c>
      <c r="AF32" s="34">
        <v>0.60319999999999996</v>
      </c>
      <c r="AG32" s="34">
        <v>0.60319999999999996</v>
      </c>
      <c r="AH32" s="34">
        <v>0.60319999999999996</v>
      </c>
    </row>
    <row r="33" spans="1:34">
      <c r="A33" s="2">
        <f>ROWS($A$4:A32)</f>
        <v>29</v>
      </c>
      <c r="B33" s="3" t="s">
        <v>372</v>
      </c>
      <c r="C33" s="27" t="s">
        <v>129</v>
      </c>
      <c r="D33" s="34">
        <v>0.623</v>
      </c>
      <c r="E33" s="34">
        <v>0.623</v>
      </c>
      <c r="F33" s="34">
        <v>0.623</v>
      </c>
      <c r="G33" s="34">
        <v>0.623</v>
      </c>
      <c r="H33" s="34">
        <v>0.623</v>
      </c>
      <c r="I33" s="34">
        <v>0.623</v>
      </c>
      <c r="J33" s="34">
        <v>0.623</v>
      </c>
      <c r="K33" s="34">
        <v>0.623</v>
      </c>
      <c r="L33" s="34">
        <v>0.623</v>
      </c>
      <c r="M33" s="34">
        <v>0.623</v>
      </c>
      <c r="N33" s="34">
        <v>0.623</v>
      </c>
      <c r="O33" s="34">
        <v>0.623</v>
      </c>
      <c r="P33" s="34">
        <v>0.623</v>
      </c>
      <c r="Q33" s="34">
        <v>0.623</v>
      </c>
      <c r="R33" s="34">
        <v>0.623</v>
      </c>
      <c r="S33" s="34">
        <v>0.623</v>
      </c>
      <c r="T33" s="34">
        <v>0.623</v>
      </c>
      <c r="U33" s="34">
        <v>0.623</v>
      </c>
      <c r="V33" s="34">
        <v>0.623</v>
      </c>
      <c r="W33" s="34">
        <v>0.623</v>
      </c>
      <c r="X33" s="34">
        <v>0.623</v>
      </c>
      <c r="Y33" s="34">
        <v>0.623</v>
      </c>
      <c r="Z33" s="34">
        <v>0.623</v>
      </c>
      <c r="AA33" s="34">
        <v>0.623</v>
      </c>
      <c r="AB33" s="34">
        <v>0.623</v>
      </c>
      <c r="AC33" s="34">
        <v>0.623</v>
      </c>
      <c r="AD33" s="34">
        <v>0.623</v>
      </c>
      <c r="AE33" s="34">
        <v>0.623</v>
      </c>
      <c r="AF33" s="34">
        <v>0.623</v>
      </c>
      <c r="AG33" s="34">
        <v>0.623</v>
      </c>
      <c r="AH33" s="34">
        <v>0.623</v>
      </c>
    </row>
    <row r="34" spans="1:34">
      <c r="A34" s="2">
        <f>ROWS($A$4:A33)</f>
        <v>30</v>
      </c>
      <c r="B34" s="3" t="s">
        <v>373</v>
      </c>
      <c r="C34" s="27" t="s">
        <v>131</v>
      </c>
      <c r="D34" s="34">
        <v>0.623</v>
      </c>
      <c r="E34" s="34">
        <v>0.623</v>
      </c>
      <c r="F34" s="34">
        <v>0.623</v>
      </c>
      <c r="G34" s="34">
        <v>0.623</v>
      </c>
      <c r="H34" s="34">
        <v>0.623</v>
      </c>
      <c r="I34" s="34">
        <v>0.623</v>
      </c>
      <c r="J34" s="34">
        <v>0.623</v>
      </c>
      <c r="K34" s="34">
        <v>0.623</v>
      </c>
      <c r="L34" s="34">
        <v>0.623</v>
      </c>
      <c r="M34" s="34">
        <v>0.623</v>
      </c>
      <c r="N34" s="34">
        <v>0.623</v>
      </c>
      <c r="O34" s="34">
        <v>0.623</v>
      </c>
      <c r="P34" s="34">
        <v>0.623</v>
      </c>
      <c r="Q34" s="34">
        <v>0.623</v>
      </c>
      <c r="R34" s="34">
        <v>0.623</v>
      </c>
      <c r="S34" s="34">
        <v>0.623</v>
      </c>
      <c r="T34" s="34">
        <v>0.623</v>
      </c>
      <c r="U34" s="34">
        <v>0.623</v>
      </c>
      <c r="V34" s="34">
        <v>0.623</v>
      </c>
      <c r="W34" s="34">
        <v>0.623</v>
      </c>
      <c r="X34" s="34">
        <v>0.623</v>
      </c>
      <c r="Y34" s="34">
        <v>0.623</v>
      </c>
      <c r="Z34" s="34">
        <v>0.623</v>
      </c>
      <c r="AA34" s="34">
        <v>0.623</v>
      </c>
      <c r="AB34" s="34">
        <v>0.623</v>
      </c>
      <c r="AC34" s="34">
        <v>0.623</v>
      </c>
      <c r="AD34" s="34">
        <v>0.623</v>
      </c>
      <c r="AE34" s="34">
        <v>0.623</v>
      </c>
      <c r="AF34" s="34">
        <v>0.623</v>
      </c>
      <c r="AG34" s="34">
        <v>0.623</v>
      </c>
      <c r="AH34" s="34">
        <v>0.623</v>
      </c>
    </row>
    <row r="35" spans="1:34">
      <c r="A35" s="2">
        <f>ROWS($A$4:A34)</f>
        <v>31</v>
      </c>
      <c r="B35" s="3" t="s">
        <v>374</v>
      </c>
      <c r="C35" s="27" t="s">
        <v>133</v>
      </c>
      <c r="D35" s="34">
        <v>0.623</v>
      </c>
      <c r="E35" s="34">
        <v>0.623</v>
      </c>
      <c r="F35" s="34">
        <v>0.623</v>
      </c>
      <c r="G35" s="34">
        <v>0.623</v>
      </c>
      <c r="H35" s="34">
        <v>0.623</v>
      </c>
      <c r="I35" s="34">
        <v>0.623</v>
      </c>
      <c r="J35" s="34">
        <v>0.623</v>
      </c>
      <c r="K35" s="34">
        <v>0.623</v>
      </c>
      <c r="L35" s="34">
        <v>0.623</v>
      </c>
      <c r="M35" s="34">
        <v>0.623</v>
      </c>
      <c r="N35" s="34">
        <v>0.623</v>
      </c>
      <c r="O35" s="34">
        <v>0.623</v>
      </c>
      <c r="P35" s="34">
        <v>0.623</v>
      </c>
      <c r="Q35" s="34">
        <v>0.623</v>
      </c>
      <c r="R35" s="34">
        <v>0.623</v>
      </c>
      <c r="S35" s="34">
        <v>0.623</v>
      </c>
      <c r="T35" s="34">
        <v>0.623</v>
      </c>
      <c r="U35" s="34">
        <v>0.623</v>
      </c>
      <c r="V35" s="34">
        <v>0.623</v>
      </c>
      <c r="W35" s="34">
        <v>0.623</v>
      </c>
      <c r="X35" s="34">
        <v>0.623</v>
      </c>
      <c r="Y35" s="34">
        <v>0.623</v>
      </c>
      <c r="Z35" s="34">
        <v>0.623</v>
      </c>
      <c r="AA35" s="34">
        <v>0.623</v>
      </c>
      <c r="AB35" s="34">
        <v>0.623</v>
      </c>
      <c r="AC35" s="34">
        <v>0.623</v>
      </c>
      <c r="AD35" s="34">
        <v>0.623</v>
      </c>
      <c r="AE35" s="34">
        <v>0.623</v>
      </c>
      <c r="AF35" s="34">
        <v>0.623</v>
      </c>
      <c r="AG35" s="34">
        <v>0.623</v>
      </c>
      <c r="AH35" s="34">
        <v>0.623</v>
      </c>
    </row>
    <row r="36" spans="1:34">
      <c r="A36" s="2">
        <f>ROWS($A$4:A35)</f>
        <v>32</v>
      </c>
      <c r="B36" s="3" t="s">
        <v>375</v>
      </c>
      <c r="C36" s="27" t="s">
        <v>135</v>
      </c>
      <c r="D36" s="34">
        <v>0.65300000000000002</v>
      </c>
      <c r="E36" s="34">
        <v>0.65300000000000002</v>
      </c>
      <c r="F36" s="34">
        <v>0.65300000000000002</v>
      </c>
      <c r="G36" s="34">
        <v>0.65300000000000002</v>
      </c>
      <c r="H36" s="34">
        <v>0.65300000000000002</v>
      </c>
      <c r="I36" s="34">
        <v>0.65300000000000002</v>
      </c>
      <c r="J36" s="34">
        <v>0.65300000000000002</v>
      </c>
      <c r="K36" s="34">
        <v>0.65300000000000002</v>
      </c>
      <c r="L36" s="34">
        <v>0.65300000000000002</v>
      </c>
      <c r="M36" s="34">
        <v>0.65300000000000002</v>
      </c>
      <c r="N36" s="34">
        <v>0.65300000000000002</v>
      </c>
      <c r="O36" s="34">
        <v>0.65300000000000002</v>
      </c>
      <c r="P36" s="34">
        <v>0.65300000000000002</v>
      </c>
      <c r="Q36" s="34">
        <v>0.65300000000000002</v>
      </c>
      <c r="R36" s="34">
        <v>0.65300000000000002</v>
      </c>
      <c r="S36" s="34">
        <v>0.65300000000000002</v>
      </c>
      <c r="T36" s="34">
        <v>0.65300000000000002</v>
      </c>
      <c r="U36" s="34">
        <v>0.65300000000000002</v>
      </c>
      <c r="V36" s="34">
        <v>0.65300000000000002</v>
      </c>
      <c r="W36" s="34">
        <v>0.65300000000000002</v>
      </c>
      <c r="X36" s="34">
        <v>0.65300000000000002</v>
      </c>
      <c r="Y36" s="34">
        <v>0.65300000000000002</v>
      </c>
      <c r="Z36" s="34">
        <v>0.65300000000000002</v>
      </c>
      <c r="AA36" s="34">
        <v>0.65300000000000002</v>
      </c>
      <c r="AB36" s="34">
        <v>0.65300000000000002</v>
      </c>
      <c r="AC36" s="34">
        <v>0.65300000000000002</v>
      </c>
      <c r="AD36" s="34">
        <v>0.65300000000000002</v>
      </c>
      <c r="AE36" s="34">
        <v>0.65300000000000002</v>
      </c>
      <c r="AF36" s="34">
        <v>0.65300000000000002</v>
      </c>
      <c r="AG36" s="34">
        <v>0.65300000000000002</v>
      </c>
      <c r="AH36" s="34">
        <v>0.65300000000000002</v>
      </c>
    </row>
    <row r="37" spans="1:34">
      <c r="A37" s="2">
        <f>ROWS($A$4:A36)</f>
        <v>33</v>
      </c>
      <c r="B37" s="3" t="s">
        <v>376</v>
      </c>
      <c r="C37" s="27" t="s">
        <v>137</v>
      </c>
      <c r="D37" s="34">
        <v>0.65300000000000002</v>
      </c>
      <c r="E37" s="34">
        <v>0.65300000000000002</v>
      </c>
      <c r="F37" s="34">
        <v>0.65300000000000002</v>
      </c>
      <c r="G37" s="34">
        <v>0.65300000000000002</v>
      </c>
      <c r="H37" s="34">
        <v>0.65300000000000002</v>
      </c>
      <c r="I37" s="34">
        <v>0.65300000000000002</v>
      </c>
      <c r="J37" s="34">
        <v>0.65300000000000002</v>
      </c>
      <c r="K37" s="34">
        <v>0.65300000000000002</v>
      </c>
      <c r="L37" s="34">
        <v>0.65300000000000002</v>
      </c>
      <c r="M37" s="34">
        <v>0.65300000000000002</v>
      </c>
      <c r="N37" s="34">
        <v>0.65300000000000002</v>
      </c>
      <c r="O37" s="34">
        <v>0.65300000000000002</v>
      </c>
      <c r="P37" s="34">
        <v>0.65300000000000002</v>
      </c>
      <c r="Q37" s="34">
        <v>0.65300000000000002</v>
      </c>
      <c r="R37" s="34">
        <v>0.65300000000000002</v>
      </c>
      <c r="S37" s="34">
        <v>0.65300000000000002</v>
      </c>
      <c r="T37" s="34">
        <v>0.65300000000000002</v>
      </c>
      <c r="U37" s="34">
        <v>0.65300000000000002</v>
      </c>
      <c r="V37" s="34">
        <v>0.65300000000000002</v>
      </c>
      <c r="W37" s="34">
        <v>0.65300000000000002</v>
      </c>
      <c r="X37" s="34">
        <v>0.65300000000000002</v>
      </c>
      <c r="Y37" s="34">
        <v>0.65300000000000002</v>
      </c>
      <c r="Z37" s="34">
        <v>0.65300000000000002</v>
      </c>
      <c r="AA37" s="34">
        <v>0.65300000000000002</v>
      </c>
      <c r="AB37" s="34">
        <v>0.65300000000000002</v>
      </c>
      <c r="AC37" s="34">
        <v>0.65300000000000002</v>
      </c>
      <c r="AD37" s="34">
        <v>0.65300000000000002</v>
      </c>
      <c r="AE37" s="34">
        <v>0.65300000000000002</v>
      </c>
      <c r="AF37" s="34">
        <v>0.65300000000000002</v>
      </c>
      <c r="AG37" s="34">
        <v>0.65300000000000002</v>
      </c>
      <c r="AH37" s="34">
        <v>0.65300000000000002</v>
      </c>
    </row>
    <row r="38" spans="1:34">
      <c r="A38" s="2">
        <f>ROWS($A$4:A37)</f>
        <v>34</v>
      </c>
      <c r="B38" s="3" t="s">
        <v>377</v>
      </c>
      <c r="C38" s="27" t="s">
        <v>139</v>
      </c>
      <c r="D38" s="34">
        <v>0.65300000000000002</v>
      </c>
      <c r="E38" s="34">
        <v>0.65300000000000002</v>
      </c>
      <c r="F38" s="34">
        <v>0.65300000000000002</v>
      </c>
      <c r="G38" s="34">
        <v>0.65300000000000002</v>
      </c>
      <c r="H38" s="34">
        <v>0.65300000000000002</v>
      </c>
      <c r="I38" s="34">
        <v>0.65300000000000002</v>
      </c>
      <c r="J38" s="34">
        <v>0.65300000000000002</v>
      </c>
      <c r="K38" s="34">
        <v>0.65300000000000002</v>
      </c>
      <c r="L38" s="34">
        <v>0.65300000000000002</v>
      </c>
      <c r="M38" s="34">
        <v>0.65300000000000002</v>
      </c>
      <c r="N38" s="34">
        <v>0.65300000000000002</v>
      </c>
      <c r="O38" s="34">
        <v>0.65300000000000002</v>
      </c>
      <c r="P38" s="34">
        <v>0.65300000000000002</v>
      </c>
      <c r="Q38" s="34">
        <v>0.65300000000000002</v>
      </c>
      <c r="R38" s="34">
        <v>0.65300000000000002</v>
      </c>
      <c r="S38" s="34">
        <v>0.65300000000000002</v>
      </c>
      <c r="T38" s="34">
        <v>0.65300000000000002</v>
      </c>
      <c r="U38" s="34">
        <v>0.65300000000000002</v>
      </c>
      <c r="V38" s="34">
        <v>0.65300000000000002</v>
      </c>
      <c r="W38" s="34">
        <v>0.65300000000000002</v>
      </c>
      <c r="X38" s="34">
        <v>0.65300000000000002</v>
      </c>
      <c r="Y38" s="34">
        <v>0.65300000000000002</v>
      </c>
      <c r="Z38" s="34">
        <v>0.65300000000000002</v>
      </c>
      <c r="AA38" s="34">
        <v>0.65300000000000002</v>
      </c>
      <c r="AB38" s="34">
        <v>0.65300000000000002</v>
      </c>
      <c r="AC38" s="34">
        <v>0.65300000000000002</v>
      </c>
      <c r="AD38" s="34">
        <v>0.65300000000000002</v>
      </c>
      <c r="AE38" s="34">
        <v>0.65300000000000002</v>
      </c>
      <c r="AF38" s="34">
        <v>0.65300000000000002</v>
      </c>
      <c r="AG38" s="34">
        <v>0.65300000000000002</v>
      </c>
      <c r="AH38" s="34">
        <v>0.65300000000000002</v>
      </c>
    </row>
    <row r="39" spans="1:34">
      <c r="A39" s="2">
        <f>ROWS($A$4:A38)</f>
        <v>35</v>
      </c>
      <c r="B39" s="3" t="s">
        <v>378</v>
      </c>
      <c r="C39" s="27" t="s">
        <v>141</v>
      </c>
      <c r="D39" s="34">
        <v>0.84250000000000003</v>
      </c>
      <c r="E39" s="34">
        <v>0.84250000000000003</v>
      </c>
      <c r="F39" s="34">
        <v>0.84250000000000003</v>
      </c>
      <c r="G39" s="34">
        <v>0.84250000000000003</v>
      </c>
      <c r="H39" s="34">
        <v>0.84250000000000003</v>
      </c>
      <c r="I39" s="34">
        <v>0.84250000000000003</v>
      </c>
      <c r="J39" s="34">
        <v>0.84250000000000003</v>
      </c>
      <c r="K39" s="34">
        <v>0.84250000000000003</v>
      </c>
      <c r="L39" s="34">
        <v>0.84250000000000003</v>
      </c>
      <c r="M39" s="34">
        <v>0.84250000000000003</v>
      </c>
      <c r="N39" s="34">
        <v>0.84250000000000003</v>
      </c>
      <c r="O39" s="34">
        <v>0.84250000000000003</v>
      </c>
      <c r="P39" s="34">
        <v>0.84250000000000003</v>
      </c>
      <c r="Q39" s="34">
        <v>0.84250000000000003</v>
      </c>
      <c r="R39" s="34">
        <v>0.84250000000000003</v>
      </c>
      <c r="S39" s="34">
        <v>0.84250000000000003</v>
      </c>
      <c r="T39" s="34">
        <v>0.84250000000000003</v>
      </c>
      <c r="U39" s="34">
        <v>0.84250000000000003</v>
      </c>
      <c r="V39" s="34">
        <v>0.84250000000000003</v>
      </c>
      <c r="W39" s="34">
        <v>0.84250000000000003</v>
      </c>
      <c r="X39" s="34">
        <v>0.84250000000000003</v>
      </c>
      <c r="Y39" s="34">
        <v>0.84250000000000003</v>
      </c>
      <c r="Z39" s="34">
        <v>0.84250000000000003</v>
      </c>
      <c r="AA39" s="34">
        <v>0.84250000000000003</v>
      </c>
      <c r="AB39" s="34">
        <v>0.84250000000000003</v>
      </c>
      <c r="AC39" s="34">
        <v>0.84250000000000003</v>
      </c>
      <c r="AD39" s="34">
        <v>0.84250000000000003</v>
      </c>
      <c r="AE39" s="34">
        <v>0.84250000000000003</v>
      </c>
      <c r="AF39" s="34">
        <v>0.84250000000000003</v>
      </c>
      <c r="AG39" s="34">
        <v>0.84250000000000003</v>
      </c>
      <c r="AH39" s="34">
        <v>0.84250000000000003</v>
      </c>
    </row>
    <row r="40" spans="1:34">
      <c r="A40" s="2">
        <f>ROWS($A$4:A39)</f>
        <v>36</v>
      </c>
      <c r="B40" s="3" t="s">
        <v>379</v>
      </c>
      <c r="C40" s="27" t="s">
        <v>143</v>
      </c>
      <c r="D40" s="34">
        <v>0.84250000000000003</v>
      </c>
      <c r="E40" s="34">
        <v>0.84250000000000003</v>
      </c>
      <c r="F40" s="34">
        <v>0.84250000000000003</v>
      </c>
      <c r="G40" s="34">
        <v>0.84250000000000003</v>
      </c>
      <c r="H40" s="34">
        <v>0.84250000000000003</v>
      </c>
      <c r="I40" s="34">
        <v>0.84250000000000003</v>
      </c>
      <c r="J40" s="34">
        <v>0.84250000000000003</v>
      </c>
      <c r="K40" s="34">
        <v>0.84250000000000003</v>
      </c>
      <c r="L40" s="34">
        <v>0.84250000000000003</v>
      </c>
      <c r="M40" s="34">
        <v>0.84250000000000003</v>
      </c>
      <c r="N40" s="34">
        <v>0.84250000000000003</v>
      </c>
      <c r="O40" s="34">
        <v>0.84250000000000003</v>
      </c>
      <c r="P40" s="34">
        <v>0.84250000000000003</v>
      </c>
      <c r="Q40" s="34">
        <v>0.84250000000000003</v>
      </c>
      <c r="R40" s="34">
        <v>0.84250000000000003</v>
      </c>
      <c r="S40" s="34">
        <v>0.84250000000000003</v>
      </c>
      <c r="T40" s="34">
        <v>0.84250000000000003</v>
      </c>
      <c r="U40" s="34">
        <v>0.84250000000000003</v>
      </c>
      <c r="V40" s="34">
        <v>0.84250000000000003</v>
      </c>
      <c r="W40" s="34">
        <v>0.84250000000000003</v>
      </c>
      <c r="X40" s="34">
        <v>0.84250000000000003</v>
      </c>
      <c r="Y40" s="34">
        <v>0.84250000000000003</v>
      </c>
      <c r="Z40" s="34">
        <v>0.84250000000000003</v>
      </c>
      <c r="AA40" s="34">
        <v>0.84250000000000003</v>
      </c>
      <c r="AB40" s="34">
        <v>0.84250000000000003</v>
      </c>
      <c r="AC40" s="34">
        <v>0.84250000000000003</v>
      </c>
      <c r="AD40" s="34">
        <v>0.84250000000000003</v>
      </c>
      <c r="AE40" s="34">
        <v>0.84250000000000003</v>
      </c>
      <c r="AF40" s="34">
        <v>0.84250000000000003</v>
      </c>
      <c r="AG40" s="34">
        <v>0.84250000000000003</v>
      </c>
      <c r="AH40" s="34">
        <v>0.84250000000000003</v>
      </c>
    </row>
    <row r="41" spans="1:34">
      <c r="A41" s="2">
        <f>ROWS($A$4:A40)</f>
        <v>37</v>
      </c>
      <c r="B41" s="3" t="s">
        <v>380</v>
      </c>
      <c r="C41" s="27" t="s">
        <v>145</v>
      </c>
      <c r="D41" s="34">
        <v>0.84250000000000003</v>
      </c>
      <c r="E41" s="34">
        <v>0.84250000000000003</v>
      </c>
      <c r="F41" s="34">
        <v>0.84250000000000003</v>
      </c>
      <c r="G41" s="34">
        <v>0.84250000000000003</v>
      </c>
      <c r="H41" s="34">
        <v>0.84250000000000003</v>
      </c>
      <c r="I41" s="34">
        <v>0.84250000000000003</v>
      </c>
      <c r="J41" s="34">
        <v>0.84250000000000003</v>
      </c>
      <c r="K41" s="34">
        <v>0.84250000000000003</v>
      </c>
      <c r="L41" s="34">
        <v>0.84250000000000003</v>
      </c>
      <c r="M41" s="34">
        <v>0.84250000000000003</v>
      </c>
      <c r="N41" s="34">
        <v>0.84250000000000003</v>
      </c>
      <c r="O41" s="34">
        <v>0.84250000000000003</v>
      </c>
      <c r="P41" s="34">
        <v>0.84250000000000003</v>
      </c>
      <c r="Q41" s="34">
        <v>0.84250000000000003</v>
      </c>
      <c r="R41" s="34">
        <v>0.84250000000000003</v>
      </c>
      <c r="S41" s="34">
        <v>0.84250000000000003</v>
      </c>
      <c r="T41" s="34">
        <v>0.84250000000000003</v>
      </c>
      <c r="U41" s="34">
        <v>0.84250000000000003</v>
      </c>
      <c r="V41" s="34">
        <v>0.84250000000000003</v>
      </c>
      <c r="W41" s="34">
        <v>0.84250000000000003</v>
      </c>
      <c r="X41" s="34">
        <v>0.84250000000000003</v>
      </c>
      <c r="Y41" s="34">
        <v>0.84250000000000003</v>
      </c>
      <c r="Z41" s="34">
        <v>0.84250000000000003</v>
      </c>
      <c r="AA41" s="34">
        <v>0.84250000000000003</v>
      </c>
      <c r="AB41" s="34">
        <v>0.84250000000000003</v>
      </c>
      <c r="AC41" s="34">
        <v>0.84250000000000003</v>
      </c>
      <c r="AD41" s="34">
        <v>0.84250000000000003</v>
      </c>
      <c r="AE41" s="34">
        <v>0.84250000000000003</v>
      </c>
      <c r="AF41" s="34">
        <v>0.84250000000000003</v>
      </c>
      <c r="AG41" s="34">
        <v>0.84250000000000003</v>
      </c>
      <c r="AH41" s="34">
        <v>0.84250000000000003</v>
      </c>
    </row>
    <row r="42" spans="1:34">
      <c r="A42" s="2">
        <f>ROWS($A$4:A41)</f>
        <v>38</v>
      </c>
      <c r="B42" s="3" t="s">
        <v>451</v>
      </c>
      <c r="C42" s="27" t="s">
        <v>147</v>
      </c>
      <c r="D42" s="34">
        <v>0.84250000000000003</v>
      </c>
      <c r="E42" s="34">
        <v>0.84250000000000003</v>
      </c>
      <c r="F42" s="34">
        <v>0.84250000000000003</v>
      </c>
      <c r="G42" s="34">
        <v>0.84250000000000003</v>
      </c>
      <c r="H42" s="34">
        <v>0.84250000000000003</v>
      </c>
      <c r="I42" s="34">
        <v>0.84250000000000003</v>
      </c>
      <c r="J42" s="34">
        <v>0.84250000000000003</v>
      </c>
      <c r="K42" s="34">
        <v>0.84250000000000003</v>
      </c>
      <c r="L42" s="34">
        <v>0.84250000000000003</v>
      </c>
      <c r="M42" s="34">
        <v>0.84250000000000003</v>
      </c>
      <c r="N42" s="34">
        <v>0.84250000000000003</v>
      </c>
      <c r="O42" s="34">
        <v>0.84250000000000003</v>
      </c>
      <c r="P42" s="34">
        <v>0.84250000000000003</v>
      </c>
      <c r="Q42" s="34">
        <v>0.84250000000000003</v>
      </c>
      <c r="R42" s="34">
        <v>0.84250000000000003</v>
      </c>
      <c r="S42" s="34">
        <v>0.84250000000000003</v>
      </c>
      <c r="T42" s="34">
        <v>0.84250000000000003</v>
      </c>
      <c r="U42" s="34">
        <v>0.84250000000000003</v>
      </c>
      <c r="V42" s="34">
        <v>0.84250000000000003</v>
      </c>
      <c r="W42" s="34">
        <v>0.84250000000000003</v>
      </c>
      <c r="X42" s="34">
        <v>0.84250000000000003</v>
      </c>
      <c r="Y42" s="34">
        <v>0.84250000000000003</v>
      </c>
      <c r="Z42" s="34">
        <v>0.84250000000000003</v>
      </c>
      <c r="AA42" s="34">
        <v>0.84250000000000003</v>
      </c>
      <c r="AB42" s="34">
        <v>0.84250000000000003</v>
      </c>
      <c r="AC42" s="34">
        <v>0.84250000000000003</v>
      </c>
      <c r="AD42" s="34">
        <v>0.84250000000000003</v>
      </c>
      <c r="AE42" s="34">
        <v>0.84250000000000003</v>
      </c>
      <c r="AF42" s="34">
        <v>0.84250000000000003</v>
      </c>
      <c r="AG42" s="34">
        <v>0.84250000000000003</v>
      </c>
      <c r="AH42" s="34">
        <v>0.84250000000000003</v>
      </c>
    </row>
    <row r="43" spans="1:34">
      <c r="A43" s="7">
        <f>ROWS($A$4:A42)</f>
        <v>39</v>
      </c>
      <c r="B43" s="8" t="s">
        <v>381</v>
      </c>
      <c r="C43" s="22" t="s">
        <v>149</v>
      </c>
      <c r="D43" s="6">
        <v>0.6</v>
      </c>
      <c r="E43" s="6">
        <v>0.6</v>
      </c>
      <c r="F43" s="6">
        <v>0.6</v>
      </c>
      <c r="G43" s="6">
        <v>0.6</v>
      </c>
      <c r="H43" s="6">
        <v>0.6</v>
      </c>
      <c r="I43" s="6">
        <v>0.6</v>
      </c>
      <c r="J43" s="6">
        <v>0.6</v>
      </c>
      <c r="K43" s="6">
        <v>0.6</v>
      </c>
      <c r="L43" s="6">
        <v>0.6</v>
      </c>
      <c r="M43" s="6">
        <v>0.6</v>
      </c>
      <c r="N43" s="6">
        <v>0.6</v>
      </c>
      <c r="O43" s="6">
        <v>0.6</v>
      </c>
      <c r="P43" s="6">
        <v>0.6</v>
      </c>
      <c r="Q43" s="6">
        <v>0.6</v>
      </c>
      <c r="R43" s="6">
        <v>0.6</v>
      </c>
      <c r="S43" s="6">
        <v>0.6</v>
      </c>
      <c r="T43" s="6">
        <v>0.6</v>
      </c>
      <c r="U43" s="6">
        <v>0.6</v>
      </c>
      <c r="V43" s="6">
        <v>0.6</v>
      </c>
      <c r="W43" s="6">
        <v>0.6</v>
      </c>
      <c r="X43" s="6">
        <v>0.6</v>
      </c>
      <c r="Y43" s="6">
        <v>0.6</v>
      </c>
      <c r="Z43" s="6">
        <v>0.6</v>
      </c>
      <c r="AA43" s="6">
        <v>0.6</v>
      </c>
      <c r="AB43" s="6">
        <v>0.6</v>
      </c>
      <c r="AC43" s="6">
        <v>0.6</v>
      </c>
      <c r="AD43" s="6">
        <v>0.6</v>
      </c>
      <c r="AE43" s="6">
        <v>0.6</v>
      </c>
      <c r="AF43" s="6">
        <v>0.6</v>
      </c>
      <c r="AG43" s="6">
        <v>0.6</v>
      </c>
      <c r="AH43" s="6">
        <v>0.6</v>
      </c>
    </row>
    <row r="44" spans="1:34">
      <c r="A44" s="7">
        <f>ROWS($A$4:A43)</f>
        <v>40</v>
      </c>
      <c r="B44" s="8" t="s">
        <v>382</v>
      </c>
      <c r="C44" s="22" t="s">
        <v>151</v>
      </c>
      <c r="D44" s="6">
        <v>0.6</v>
      </c>
      <c r="E44" s="6">
        <v>0.6</v>
      </c>
      <c r="F44" s="6">
        <v>0.6</v>
      </c>
      <c r="G44" s="6">
        <v>0.6</v>
      </c>
      <c r="H44" s="6">
        <v>0.6</v>
      </c>
      <c r="I44" s="6">
        <v>0.6</v>
      </c>
      <c r="J44" s="6">
        <v>0.6</v>
      </c>
      <c r="K44" s="6">
        <v>0.6</v>
      </c>
      <c r="L44" s="6">
        <v>0.6</v>
      </c>
      <c r="M44" s="6">
        <v>0.6</v>
      </c>
      <c r="N44" s="6">
        <v>0.6</v>
      </c>
      <c r="O44" s="6">
        <v>0.6</v>
      </c>
      <c r="P44" s="6">
        <v>0.6</v>
      </c>
      <c r="Q44" s="6">
        <v>0.6</v>
      </c>
      <c r="R44" s="6">
        <v>0.6</v>
      </c>
      <c r="S44" s="6">
        <v>0.6</v>
      </c>
      <c r="T44" s="6">
        <v>0.6</v>
      </c>
      <c r="U44" s="6">
        <v>0.6</v>
      </c>
      <c r="V44" s="6">
        <v>0.6</v>
      </c>
      <c r="W44" s="6">
        <v>0.6</v>
      </c>
      <c r="X44" s="6">
        <v>0.6</v>
      </c>
      <c r="Y44" s="6">
        <v>0.6</v>
      </c>
      <c r="Z44" s="6">
        <v>0.6</v>
      </c>
      <c r="AA44" s="6">
        <v>0.6</v>
      </c>
      <c r="AB44" s="6">
        <v>0.6</v>
      </c>
      <c r="AC44" s="6">
        <v>0.6</v>
      </c>
      <c r="AD44" s="6">
        <v>0.6</v>
      </c>
      <c r="AE44" s="6">
        <v>0.6</v>
      </c>
      <c r="AF44" s="6">
        <v>0.6</v>
      </c>
      <c r="AG44" s="6">
        <v>0.6</v>
      </c>
      <c r="AH44" s="6">
        <v>0.6</v>
      </c>
    </row>
    <row r="45" spans="1:34">
      <c r="A45" s="7">
        <f>ROWS($A$4:A44)</f>
        <v>41</v>
      </c>
      <c r="B45" s="8" t="s">
        <v>383</v>
      </c>
      <c r="C45" s="22" t="s">
        <v>153</v>
      </c>
      <c r="D45" s="6">
        <v>0.6</v>
      </c>
      <c r="E45" s="6">
        <v>0.6</v>
      </c>
      <c r="F45" s="6">
        <v>0.6</v>
      </c>
      <c r="G45" s="6">
        <v>0.6</v>
      </c>
      <c r="H45" s="6">
        <v>0.6</v>
      </c>
      <c r="I45" s="6">
        <v>0.6</v>
      </c>
      <c r="J45" s="6">
        <v>0.6</v>
      </c>
      <c r="K45" s="6">
        <v>0.6</v>
      </c>
      <c r="L45" s="6">
        <v>0.6</v>
      </c>
      <c r="M45" s="6">
        <v>0.6</v>
      </c>
      <c r="N45" s="6">
        <v>0.6</v>
      </c>
      <c r="O45" s="6">
        <v>0.6</v>
      </c>
      <c r="P45" s="6">
        <v>0.6</v>
      </c>
      <c r="Q45" s="6">
        <v>0.6</v>
      </c>
      <c r="R45" s="6">
        <v>0.6</v>
      </c>
      <c r="S45" s="6">
        <v>0.6</v>
      </c>
      <c r="T45" s="6">
        <v>0.6</v>
      </c>
      <c r="U45" s="6">
        <v>0.6</v>
      </c>
      <c r="V45" s="6">
        <v>0.6</v>
      </c>
      <c r="W45" s="6">
        <v>0.6</v>
      </c>
      <c r="X45" s="6">
        <v>0.6</v>
      </c>
      <c r="Y45" s="6">
        <v>0.6</v>
      </c>
      <c r="Z45" s="6">
        <v>0.6</v>
      </c>
      <c r="AA45" s="6">
        <v>0.6</v>
      </c>
      <c r="AB45" s="6">
        <v>0.6</v>
      </c>
      <c r="AC45" s="6">
        <v>0.6</v>
      </c>
      <c r="AD45" s="6">
        <v>0.6</v>
      </c>
      <c r="AE45" s="6">
        <v>0.6</v>
      </c>
      <c r="AF45" s="6">
        <v>0.6</v>
      </c>
      <c r="AG45" s="6">
        <v>0.6</v>
      </c>
      <c r="AH45" s="6">
        <v>0.6</v>
      </c>
    </row>
    <row r="46" spans="1:34">
      <c r="A46" s="7">
        <f>ROWS($A$4:A45)</f>
        <v>42</v>
      </c>
      <c r="B46" s="8" t="s">
        <v>384</v>
      </c>
      <c r="C46" s="22" t="s">
        <v>155</v>
      </c>
      <c r="D46" s="6">
        <v>0.60329999999999995</v>
      </c>
      <c r="E46" s="6">
        <v>0.60329999999999995</v>
      </c>
      <c r="F46" s="6">
        <v>0.60329999999999995</v>
      </c>
      <c r="G46" s="6">
        <v>0.60329999999999995</v>
      </c>
      <c r="H46" s="6">
        <v>0.60329999999999995</v>
      </c>
      <c r="I46" s="6">
        <v>0.60329999999999995</v>
      </c>
      <c r="J46" s="6">
        <v>0.60329999999999995</v>
      </c>
      <c r="K46" s="6">
        <v>0.60329999999999995</v>
      </c>
      <c r="L46" s="6">
        <v>0.60329999999999995</v>
      </c>
      <c r="M46" s="6">
        <v>0.60329999999999995</v>
      </c>
      <c r="N46" s="6">
        <v>0.60329999999999995</v>
      </c>
      <c r="O46" s="6">
        <v>0.60329999999999995</v>
      </c>
      <c r="P46" s="6">
        <v>0.60329999999999995</v>
      </c>
      <c r="Q46" s="6">
        <v>0.60329999999999995</v>
      </c>
      <c r="R46" s="6">
        <v>0.60329999999999995</v>
      </c>
      <c r="S46" s="6">
        <v>0.60329999999999995</v>
      </c>
      <c r="T46" s="6">
        <v>0.60329999999999995</v>
      </c>
      <c r="U46" s="6">
        <v>0.60329999999999995</v>
      </c>
      <c r="V46" s="6">
        <v>0.60329999999999995</v>
      </c>
      <c r="W46" s="6">
        <v>0.60329999999999995</v>
      </c>
      <c r="X46" s="6">
        <v>0.60329999999999995</v>
      </c>
      <c r="Y46" s="6">
        <v>0.60329999999999995</v>
      </c>
      <c r="Z46" s="6">
        <v>0.60329999999999995</v>
      </c>
      <c r="AA46" s="6">
        <v>0.60329999999999995</v>
      </c>
      <c r="AB46" s="6">
        <v>0.60329999999999995</v>
      </c>
      <c r="AC46" s="6">
        <v>0.60329999999999995</v>
      </c>
      <c r="AD46" s="6">
        <v>0.60329999999999995</v>
      </c>
      <c r="AE46" s="6">
        <v>0.60329999999999995</v>
      </c>
      <c r="AF46" s="6">
        <v>0.60329999999999995</v>
      </c>
      <c r="AG46" s="6">
        <v>0.60329999999999995</v>
      </c>
      <c r="AH46" s="6">
        <v>0.60329999999999995</v>
      </c>
    </row>
    <row r="47" spans="1:34">
      <c r="A47" s="7">
        <f>ROWS($A$4:A46)</f>
        <v>43</v>
      </c>
      <c r="B47" s="8" t="s">
        <v>385</v>
      </c>
      <c r="C47" s="22" t="s">
        <v>157</v>
      </c>
      <c r="D47" s="6">
        <v>0.60329999999999995</v>
      </c>
      <c r="E47" s="6">
        <v>0.60329999999999995</v>
      </c>
      <c r="F47" s="6">
        <v>0.60329999999999995</v>
      </c>
      <c r="G47" s="6">
        <v>0.60329999999999995</v>
      </c>
      <c r="H47" s="6">
        <v>0.60329999999999995</v>
      </c>
      <c r="I47" s="6">
        <v>0.60329999999999995</v>
      </c>
      <c r="J47" s="6">
        <v>0.60329999999999995</v>
      </c>
      <c r="K47" s="6">
        <v>0.60329999999999995</v>
      </c>
      <c r="L47" s="6">
        <v>0.60329999999999995</v>
      </c>
      <c r="M47" s="6">
        <v>0.60329999999999995</v>
      </c>
      <c r="N47" s="6">
        <v>0.60329999999999995</v>
      </c>
      <c r="O47" s="6">
        <v>0.60329999999999995</v>
      </c>
      <c r="P47" s="6">
        <v>0.60329999999999995</v>
      </c>
      <c r="Q47" s="6">
        <v>0.60329999999999995</v>
      </c>
      <c r="R47" s="6">
        <v>0.60329999999999995</v>
      </c>
      <c r="S47" s="6">
        <v>0.60329999999999995</v>
      </c>
      <c r="T47" s="6">
        <v>0.60329999999999995</v>
      </c>
      <c r="U47" s="6">
        <v>0.60329999999999995</v>
      </c>
      <c r="V47" s="6">
        <v>0.60329999999999995</v>
      </c>
      <c r="W47" s="6">
        <v>0.60329999999999995</v>
      </c>
      <c r="X47" s="6">
        <v>0.60329999999999995</v>
      </c>
      <c r="Y47" s="6">
        <v>0.60329999999999995</v>
      </c>
      <c r="Z47" s="6">
        <v>0.60329999999999995</v>
      </c>
      <c r="AA47" s="6">
        <v>0.60329999999999995</v>
      </c>
      <c r="AB47" s="6">
        <v>0.60329999999999995</v>
      </c>
      <c r="AC47" s="6">
        <v>0.60329999999999995</v>
      </c>
      <c r="AD47" s="6">
        <v>0.60329999999999995</v>
      </c>
      <c r="AE47" s="6">
        <v>0.60329999999999995</v>
      </c>
      <c r="AF47" s="6">
        <v>0.60329999999999995</v>
      </c>
      <c r="AG47" s="6">
        <v>0.60329999999999995</v>
      </c>
      <c r="AH47" s="6">
        <v>0.60329999999999995</v>
      </c>
    </row>
    <row r="48" spans="1:34">
      <c r="A48" s="7">
        <f>ROWS($A$4:A47)</f>
        <v>44</v>
      </c>
      <c r="B48" s="8" t="s">
        <v>386</v>
      </c>
      <c r="C48" s="22" t="s">
        <v>159</v>
      </c>
      <c r="D48" s="6">
        <v>0.60329999999999995</v>
      </c>
      <c r="E48" s="6">
        <v>0.60329999999999995</v>
      </c>
      <c r="F48" s="6">
        <v>0.60329999999999995</v>
      </c>
      <c r="G48" s="6">
        <v>0.60329999999999995</v>
      </c>
      <c r="H48" s="6">
        <v>0.60329999999999995</v>
      </c>
      <c r="I48" s="6">
        <v>0.60329999999999995</v>
      </c>
      <c r="J48" s="6">
        <v>0.60329999999999995</v>
      </c>
      <c r="K48" s="6">
        <v>0.60329999999999995</v>
      </c>
      <c r="L48" s="6">
        <v>0.60329999999999995</v>
      </c>
      <c r="M48" s="6">
        <v>0.60329999999999995</v>
      </c>
      <c r="N48" s="6">
        <v>0.60329999999999995</v>
      </c>
      <c r="O48" s="6">
        <v>0.60329999999999995</v>
      </c>
      <c r="P48" s="6">
        <v>0.60329999999999995</v>
      </c>
      <c r="Q48" s="6">
        <v>0.60329999999999995</v>
      </c>
      <c r="R48" s="6">
        <v>0.60329999999999995</v>
      </c>
      <c r="S48" s="6">
        <v>0.60329999999999995</v>
      </c>
      <c r="T48" s="6">
        <v>0.60329999999999995</v>
      </c>
      <c r="U48" s="6">
        <v>0.60329999999999995</v>
      </c>
      <c r="V48" s="6">
        <v>0.60329999999999995</v>
      </c>
      <c r="W48" s="6">
        <v>0.60329999999999995</v>
      </c>
      <c r="X48" s="6">
        <v>0.60329999999999995</v>
      </c>
      <c r="Y48" s="6">
        <v>0.60329999999999995</v>
      </c>
      <c r="Z48" s="6">
        <v>0.60329999999999995</v>
      </c>
      <c r="AA48" s="6">
        <v>0.60329999999999995</v>
      </c>
      <c r="AB48" s="6">
        <v>0.60329999999999995</v>
      </c>
      <c r="AC48" s="6">
        <v>0.60329999999999995</v>
      </c>
      <c r="AD48" s="6">
        <v>0.60329999999999995</v>
      </c>
      <c r="AE48" s="6">
        <v>0.60329999999999995</v>
      </c>
      <c r="AF48" s="6">
        <v>0.60329999999999995</v>
      </c>
      <c r="AG48" s="6">
        <v>0.60329999999999995</v>
      </c>
      <c r="AH48" s="6">
        <v>0.60329999999999995</v>
      </c>
    </row>
    <row r="49" spans="1:34">
      <c r="A49" s="7">
        <f>ROWS($A$4:A48)</f>
        <v>45</v>
      </c>
      <c r="B49" s="8" t="s">
        <v>387</v>
      </c>
      <c r="C49" s="22" t="s">
        <v>161</v>
      </c>
      <c r="D49" s="6">
        <v>0.60319999999999996</v>
      </c>
      <c r="E49" s="6">
        <v>0.60319999999999996</v>
      </c>
      <c r="F49" s="6">
        <v>0.60319999999999996</v>
      </c>
      <c r="G49" s="6">
        <v>0.60319999999999996</v>
      </c>
      <c r="H49" s="6">
        <v>0.60319999999999996</v>
      </c>
      <c r="I49" s="6">
        <v>0.60319999999999996</v>
      </c>
      <c r="J49" s="6">
        <v>0.60319999999999996</v>
      </c>
      <c r="K49" s="6">
        <v>0.60319999999999996</v>
      </c>
      <c r="L49" s="6">
        <v>0.60319999999999996</v>
      </c>
      <c r="M49" s="6">
        <v>0.60319999999999996</v>
      </c>
      <c r="N49" s="6">
        <v>0.60319999999999996</v>
      </c>
      <c r="O49" s="6">
        <v>0.60319999999999996</v>
      </c>
      <c r="P49" s="6">
        <v>0.60319999999999996</v>
      </c>
      <c r="Q49" s="6">
        <v>0.60319999999999996</v>
      </c>
      <c r="R49" s="6">
        <v>0.60319999999999996</v>
      </c>
      <c r="S49" s="6">
        <v>0.60319999999999996</v>
      </c>
      <c r="T49" s="6">
        <v>0.60319999999999996</v>
      </c>
      <c r="U49" s="6">
        <v>0.60319999999999996</v>
      </c>
      <c r="V49" s="6">
        <v>0.60319999999999996</v>
      </c>
      <c r="W49" s="6">
        <v>0.60319999999999996</v>
      </c>
      <c r="X49" s="6">
        <v>0.60319999999999996</v>
      </c>
      <c r="Y49" s="6">
        <v>0.60319999999999996</v>
      </c>
      <c r="Z49" s="6">
        <v>0.60319999999999996</v>
      </c>
      <c r="AA49" s="6">
        <v>0.60319999999999996</v>
      </c>
      <c r="AB49" s="6">
        <v>0.60319999999999996</v>
      </c>
      <c r="AC49" s="6">
        <v>0.60319999999999996</v>
      </c>
      <c r="AD49" s="6">
        <v>0.60319999999999996</v>
      </c>
      <c r="AE49" s="6">
        <v>0.60319999999999996</v>
      </c>
      <c r="AF49" s="6">
        <v>0.60319999999999996</v>
      </c>
      <c r="AG49" s="6">
        <v>0.60319999999999996</v>
      </c>
      <c r="AH49" s="6">
        <v>0.60319999999999996</v>
      </c>
    </row>
    <row r="50" spans="1:34">
      <c r="A50" s="7">
        <f>ROWS($A$4:A49)</f>
        <v>46</v>
      </c>
      <c r="B50" s="8" t="s">
        <v>388</v>
      </c>
      <c r="C50" s="22" t="s">
        <v>163</v>
      </c>
      <c r="D50" s="6">
        <v>0.60319999999999996</v>
      </c>
      <c r="E50" s="6">
        <v>0.60319999999999996</v>
      </c>
      <c r="F50" s="6">
        <v>0.60319999999999996</v>
      </c>
      <c r="G50" s="6">
        <v>0.60319999999999996</v>
      </c>
      <c r="H50" s="6">
        <v>0.60319999999999996</v>
      </c>
      <c r="I50" s="6">
        <v>0.60319999999999996</v>
      </c>
      <c r="J50" s="6">
        <v>0.60319999999999996</v>
      </c>
      <c r="K50" s="6">
        <v>0.60319999999999996</v>
      </c>
      <c r="L50" s="6">
        <v>0.60319999999999996</v>
      </c>
      <c r="M50" s="6">
        <v>0.60319999999999996</v>
      </c>
      <c r="N50" s="6">
        <v>0.60319999999999996</v>
      </c>
      <c r="O50" s="6">
        <v>0.60319999999999996</v>
      </c>
      <c r="P50" s="6">
        <v>0.60319999999999996</v>
      </c>
      <c r="Q50" s="6">
        <v>0.60319999999999996</v>
      </c>
      <c r="R50" s="6">
        <v>0.60319999999999996</v>
      </c>
      <c r="S50" s="6">
        <v>0.60319999999999996</v>
      </c>
      <c r="T50" s="6">
        <v>0.60319999999999996</v>
      </c>
      <c r="U50" s="6">
        <v>0.60319999999999996</v>
      </c>
      <c r="V50" s="6">
        <v>0.60319999999999996</v>
      </c>
      <c r="W50" s="6">
        <v>0.60319999999999996</v>
      </c>
      <c r="X50" s="6">
        <v>0.60319999999999996</v>
      </c>
      <c r="Y50" s="6">
        <v>0.60319999999999996</v>
      </c>
      <c r="Z50" s="6">
        <v>0.60319999999999996</v>
      </c>
      <c r="AA50" s="6">
        <v>0.60319999999999996</v>
      </c>
      <c r="AB50" s="6">
        <v>0.60319999999999996</v>
      </c>
      <c r="AC50" s="6">
        <v>0.60319999999999996</v>
      </c>
      <c r="AD50" s="6">
        <v>0.60319999999999996</v>
      </c>
      <c r="AE50" s="6">
        <v>0.60319999999999996</v>
      </c>
      <c r="AF50" s="6">
        <v>0.60319999999999996</v>
      </c>
      <c r="AG50" s="6">
        <v>0.60319999999999996</v>
      </c>
      <c r="AH50" s="6">
        <v>0.60319999999999996</v>
      </c>
    </row>
    <row r="51" spans="1:34">
      <c r="A51" s="7">
        <f>ROWS($A$4:A50)</f>
        <v>47</v>
      </c>
      <c r="B51" s="8" t="s">
        <v>389</v>
      </c>
      <c r="C51" s="22" t="s">
        <v>165</v>
      </c>
      <c r="D51" s="6">
        <v>0.60319999999999996</v>
      </c>
      <c r="E51" s="6">
        <v>0.60319999999999996</v>
      </c>
      <c r="F51" s="6">
        <v>0.60319999999999996</v>
      </c>
      <c r="G51" s="6">
        <v>0.60319999999999996</v>
      </c>
      <c r="H51" s="6">
        <v>0.60319999999999996</v>
      </c>
      <c r="I51" s="6">
        <v>0.60319999999999996</v>
      </c>
      <c r="J51" s="6">
        <v>0.60319999999999996</v>
      </c>
      <c r="K51" s="6">
        <v>0.60319999999999996</v>
      </c>
      <c r="L51" s="6">
        <v>0.60319999999999996</v>
      </c>
      <c r="M51" s="6">
        <v>0.60319999999999996</v>
      </c>
      <c r="N51" s="6">
        <v>0.60319999999999996</v>
      </c>
      <c r="O51" s="6">
        <v>0.60319999999999996</v>
      </c>
      <c r="P51" s="6">
        <v>0.60319999999999996</v>
      </c>
      <c r="Q51" s="6">
        <v>0.60319999999999996</v>
      </c>
      <c r="R51" s="6">
        <v>0.60319999999999996</v>
      </c>
      <c r="S51" s="6">
        <v>0.60319999999999996</v>
      </c>
      <c r="T51" s="6">
        <v>0.60319999999999996</v>
      </c>
      <c r="U51" s="6">
        <v>0.60319999999999996</v>
      </c>
      <c r="V51" s="6">
        <v>0.60319999999999996</v>
      </c>
      <c r="W51" s="6">
        <v>0.60319999999999996</v>
      </c>
      <c r="X51" s="6">
        <v>0.60319999999999996</v>
      </c>
      <c r="Y51" s="6">
        <v>0.60319999999999996</v>
      </c>
      <c r="Z51" s="6">
        <v>0.60319999999999996</v>
      </c>
      <c r="AA51" s="6">
        <v>0.60319999999999996</v>
      </c>
      <c r="AB51" s="6">
        <v>0.60319999999999996</v>
      </c>
      <c r="AC51" s="6">
        <v>0.60319999999999996</v>
      </c>
      <c r="AD51" s="6">
        <v>0.60319999999999996</v>
      </c>
      <c r="AE51" s="6">
        <v>0.60319999999999996</v>
      </c>
      <c r="AF51" s="6">
        <v>0.60319999999999996</v>
      </c>
      <c r="AG51" s="6">
        <v>0.60319999999999996</v>
      </c>
      <c r="AH51" s="6">
        <v>0.60319999999999996</v>
      </c>
    </row>
    <row r="52" spans="1:34">
      <c r="A52" s="7">
        <f>ROWS($A$4:A51)</f>
        <v>48</v>
      </c>
      <c r="B52" s="8" t="s">
        <v>390</v>
      </c>
      <c r="C52" s="22" t="s">
        <v>167</v>
      </c>
      <c r="D52" s="6">
        <v>0.623</v>
      </c>
      <c r="E52" s="6">
        <v>0.623</v>
      </c>
      <c r="F52" s="6">
        <v>0.623</v>
      </c>
      <c r="G52" s="6">
        <v>0.623</v>
      </c>
      <c r="H52" s="6">
        <v>0.623</v>
      </c>
      <c r="I52" s="6">
        <v>0.623</v>
      </c>
      <c r="J52" s="6">
        <v>0.623</v>
      </c>
      <c r="K52" s="6">
        <v>0.623</v>
      </c>
      <c r="L52" s="6">
        <v>0.623</v>
      </c>
      <c r="M52" s="6">
        <v>0.623</v>
      </c>
      <c r="N52" s="6">
        <v>0.623</v>
      </c>
      <c r="O52" s="6">
        <v>0.623</v>
      </c>
      <c r="P52" s="6">
        <v>0.623</v>
      </c>
      <c r="Q52" s="6">
        <v>0.623</v>
      </c>
      <c r="R52" s="6">
        <v>0.623</v>
      </c>
      <c r="S52" s="6">
        <v>0.623</v>
      </c>
      <c r="T52" s="6">
        <v>0.623</v>
      </c>
      <c r="U52" s="6">
        <v>0.623</v>
      </c>
      <c r="V52" s="6">
        <v>0.623</v>
      </c>
      <c r="W52" s="6">
        <v>0.623</v>
      </c>
      <c r="X52" s="6">
        <v>0.623</v>
      </c>
      <c r="Y52" s="6">
        <v>0.623</v>
      </c>
      <c r="Z52" s="6">
        <v>0.623</v>
      </c>
      <c r="AA52" s="6">
        <v>0.623</v>
      </c>
      <c r="AB52" s="6">
        <v>0.623</v>
      </c>
      <c r="AC52" s="6">
        <v>0.623</v>
      </c>
      <c r="AD52" s="6">
        <v>0.623</v>
      </c>
      <c r="AE52" s="6">
        <v>0.623</v>
      </c>
      <c r="AF52" s="6">
        <v>0.623</v>
      </c>
      <c r="AG52" s="6">
        <v>0.623</v>
      </c>
      <c r="AH52" s="6">
        <v>0.623</v>
      </c>
    </row>
    <row r="53" spans="1:34">
      <c r="A53" s="7">
        <f>ROWS($A$4:A52)</f>
        <v>49</v>
      </c>
      <c r="B53" s="8" t="s">
        <v>391</v>
      </c>
      <c r="C53" s="22" t="s">
        <v>169</v>
      </c>
      <c r="D53" s="6">
        <v>0.623</v>
      </c>
      <c r="E53" s="6">
        <v>0.623</v>
      </c>
      <c r="F53" s="6">
        <v>0.623</v>
      </c>
      <c r="G53" s="6">
        <v>0.623</v>
      </c>
      <c r="H53" s="6">
        <v>0.623</v>
      </c>
      <c r="I53" s="6">
        <v>0.623</v>
      </c>
      <c r="J53" s="6">
        <v>0.623</v>
      </c>
      <c r="K53" s="6">
        <v>0.623</v>
      </c>
      <c r="L53" s="6">
        <v>0.623</v>
      </c>
      <c r="M53" s="6">
        <v>0.623</v>
      </c>
      <c r="N53" s="6">
        <v>0.623</v>
      </c>
      <c r="O53" s="6">
        <v>0.623</v>
      </c>
      <c r="P53" s="6">
        <v>0.623</v>
      </c>
      <c r="Q53" s="6">
        <v>0.623</v>
      </c>
      <c r="R53" s="6">
        <v>0.623</v>
      </c>
      <c r="S53" s="6">
        <v>0.623</v>
      </c>
      <c r="T53" s="6">
        <v>0.623</v>
      </c>
      <c r="U53" s="6">
        <v>0.623</v>
      </c>
      <c r="V53" s="6">
        <v>0.623</v>
      </c>
      <c r="W53" s="6">
        <v>0.623</v>
      </c>
      <c r="X53" s="6">
        <v>0.623</v>
      </c>
      <c r="Y53" s="6">
        <v>0.623</v>
      </c>
      <c r="Z53" s="6">
        <v>0.623</v>
      </c>
      <c r="AA53" s="6">
        <v>0.623</v>
      </c>
      <c r="AB53" s="6">
        <v>0.623</v>
      </c>
      <c r="AC53" s="6">
        <v>0.623</v>
      </c>
      <c r="AD53" s="6">
        <v>0.623</v>
      </c>
      <c r="AE53" s="6">
        <v>0.623</v>
      </c>
      <c r="AF53" s="6">
        <v>0.623</v>
      </c>
      <c r="AG53" s="6">
        <v>0.623</v>
      </c>
      <c r="AH53" s="6">
        <v>0.623</v>
      </c>
    </row>
    <row r="54" spans="1:34">
      <c r="A54" s="7">
        <f>ROWS($A$4:A53)</f>
        <v>50</v>
      </c>
      <c r="B54" s="8" t="s">
        <v>392</v>
      </c>
      <c r="C54" s="22" t="s">
        <v>171</v>
      </c>
      <c r="D54" s="6">
        <v>0.623</v>
      </c>
      <c r="E54" s="6">
        <v>0.623</v>
      </c>
      <c r="F54" s="6">
        <v>0.623</v>
      </c>
      <c r="G54" s="6">
        <v>0.623</v>
      </c>
      <c r="H54" s="6">
        <v>0.623</v>
      </c>
      <c r="I54" s="6">
        <v>0.623</v>
      </c>
      <c r="J54" s="6">
        <v>0.623</v>
      </c>
      <c r="K54" s="6">
        <v>0.623</v>
      </c>
      <c r="L54" s="6">
        <v>0.623</v>
      </c>
      <c r="M54" s="6">
        <v>0.623</v>
      </c>
      <c r="N54" s="6">
        <v>0.623</v>
      </c>
      <c r="O54" s="6">
        <v>0.623</v>
      </c>
      <c r="P54" s="6">
        <v>0.623</v>
      </c>
      <c r="Q54" s="6">
        <v>0.623</v>
      </c>
      <c r="R54" s="6">
        <v>0.623</v>
      </c>
      <c r="S54" s="6">
        <v>0.623</v>
      </c>
      <c r="T54" s="6">
        <v>0.623</v>
      </c>
      <c r="U54" s="6">
        <v>0.623</v>
      </c>
      <c r="V54" s="6">
        <v>0.623</v>
      </c>
      <c r="W54" s="6">
        <v>0.623</v>
      </c>
      <c r="X54" s="6">
        <v>0.623</v>
      </c>
      <c r="Y54" s="6">
        <v>0.623</v>
      </c>
      <c r="Z54" s="6">
        <v>0.623</v>
      </c>
      <c r="AA54" s="6">
        <v>0.623</v>
      </c>
      <c r="AB54" s="6">
        <v>0.623</v>
      </c>
      <c r="AC54" s="6">
        <v>0.623</v>
      </c>
      <c r="AD54" s="6">
        <v>0.623</v>
      </c>
      <c r="AE54" s="6">
        <v>0.623</v>
      </c>
      <c r="AF54" s="6">
        <v>0.623</v>
      </c>
      <c r="AG54" s="6">
        <v>0.623</v>
      </c>
      <c r="AH54" s="6">
        <v>0.623</v>
      </c>
    </row>
    <row r="55" spans="1:34">
      <c r="A55" s="7">
        <f>ROWS($A$4:A54)</f>
        <v>51</v>
      </c>
      <c r="B55" s="8" t="s">
        <v>393</v>
      </c>
      <c r="C55" s="22" t="s">
        <v>173</v>
      </c>
      <c r="D55" s="6">
        <v>0.65300000000000002</v>
      </c>
      <c r="E55" s="6">
        <v>0.65300000000000002</v>
      </c>
      <c r="F55" s="6">
        <v>0.65300000000000002</v>
      </c>
      <c r="G55" s="6">
        <v>0.65300000000000002</v>
      </c>
      <c r="H55" s="6">
        <v>0.65300000000000002</v>
      </c>
      <c r="I55" s="6">
        <v>0.65300000000000002</v>
      </c>
      <c r="J55" s="6">
        <v>0.65300000000000002</v>
      </c>
      <c r="K55" s="6">
        <v>0.65300000000000002</v>
      </c>
      <c r="L55" s="6">
        <v>0.65300000000000002</v>
      </c>
      <c r="M55" s="6">
        <v>0.65300000000000002</v>
      </c>
      <c r="N55" s="6">
        <v>0.65300000000000002</v>
      </c>
      <c r="O55" s="6">
        <v>0.65300000000000002</v>
      </c>
      <c r="P55" s="6">
        <v>0.65300000000000002</v>
      </c>
      <c r="Q55" s="6">
        <v>0.65300000000000002</v>
      </c>
      <c r="R55" s="6">
        <v>0.65300000000000002</v>
      </c>
      <c r="S55" s="6">
        <v>0.65300000000000002</v>
      </c>
      <c r="T55" s="6">
        <v>0.65300000000000002</v>
      </c>
      <c r="U55" s="6">
        <v>0.65300000000000002</v>
      </c>
      <c r="V55" s="6">
        <v>0.65300000000000002</v>
      </c>
      <c r="W55" s="6">
        <v>0.65300000000000002</v>
      </c>
      <c r="X55" s="6">
        <v>0.65300000000000002</v>
      </c>
      <c r="Y55" s="6">
        <v>0.65300000000000002</v>
      </c>
      <c r="Z55" s="6">
        <v>0.65300000000000002</v>
      </c>
      <c r="AA55" s="6">
        <v>0.65300000000000002</v>
      </c>
      <c r="AB55" s="6">
        <v>0.65300000000000002</v>
      </c>
      <c r="AC55" s="6">
        <v>0.65300000000000002</v>
      </c>
      <c r="AD55" s="6">
        <v>0.65300000000000002</v>
      </c>
      <c r="AE55" s="6">
        <v>0.65300000000000002</v>
      </c>
      <c r="AF55" s="6">
        <v>0.65300000000000002</v>
      </c>
      <c r="AG55" s="6">
        <v>0.65300000000000002</v>
      </c>
      <c r="AH55" s="6">
        <v>0.65300000000000002</v>
      </c>
    </row>
    <row r="56" spans="1:34">
      <c r="A56" s="7">
        <f>ROWS($A$4:A55)</f>
        <v>52</v>
      </c>
      <c r="B56" s="8" t="s">
        <v>394</v>
      </c>
      <c r="C56" s="22" t="s">
        <v>175</v>
      </c>
      <c r="D56" s="6">
        <v>0.65300000000000002</v>
      </c>
      <c r="E56" s="6">
        <v>0.65300000000000002</v>
      </c>
      <c r="F56" s="6">
        <v>0.65300000000000002</v>
      </c>
      <c r="G56" s="6">
        <v>0.65300000000000002</v>
      </c>
      <c r="H56" s="6">
        <v>0.65300000000000002</v>
      </c>
      <c r="I56" s="6">
        <v>0.65300000000000002</v>
      </c>
      <c r="J56" s="6">
        <v>0.65300000000000002</v>
      </c>
      <c r="K56" s="6">
        <v>0.65300000000000002</v>
      </c>
      <c r="L56" s="6">
        <v>0.65300000000000002</v>
      </c>
      <c r="M56" s="6">
        <v>0.65300000000000002</v>
      </c>
      <c r="N56" s="6">
        <v>0.65300000000000002</v>
      </c>
      <c r="O56" s="6">
        <v>0.65300000000000002</v>
      </c>
      <c r="P56" s="6">
        <v>0.65300000000000002</v>
      </c>
      <c r="Q56" s="6">
        <v>0.65300000000000002</v>
      </c>
      <c r="R56" s="6">
        <v>0.65300000000000002</v>
      </c>
      <c r="S56" s="6">
        <v>0.65300000000000002</v>
      </c>
      <c r="T56" s="6">
        <v>0.65300000000000002</v>
      </c>
      <c r="U56" s="6">
        <v>0.65300000000000002</v>
      </c>
      <c r="V56" s="6">
        <v>0.65300000000000002</v>
      </c>
      <c r="W56" s="6">
        <v>0.65300000000000002</v>
      </c>
      <c r="X56" s="6">
        <v>0.65300000000000002</v>
      </c>
      <c r="Y56" s="6">
        <v>0.65300000000000002</v>
      </c>
      <c r="Z56" s="6">
        <v>0.65300000000000002</v>
      </c>
      <c r="AA56" s="6">
        <v>0.65300000000000002</v>
      </c>
      <c r="AB56" s="6">
        <v>0.65300000000000002</v>
      </c>
      <c r="AC56" s="6">
        <v>0.65300000000000002</v>
      </c>
      <c r="AD56" s="6">
        <v>0.65300000000000002</v>
      </c>
      <c r="AE56" s="6">
        <v>0.65300000000000002</v>
      </c>
      <c r="AF56" s="6">
        <v>0.65300000000000002</v>
      </c>
      <c r="AG56" s="6">
        <v>0.65300000000000002</v>
      </c>
      <c r="AH56" s="6">
        <v>0.65300000000000002</v>
      </c>
    </row>
    <row r="57" spans="1:34">
      <c r="A57" s="7">
        <f>ROWS($A$4:A56)</f>
        <v>53</v>
      </c>
      <c r="B57" s="8" t="s">
        <v>395</v>
      </c>
      <c r="C57" s="22" t="s">
        <v>177</v>
      </c>
      <c r="D57" s="6">
        <v>0.65300000000000002</v>
      </c>
      <c r="E57" s="6">
        <v>0.65300000000000002</v>
      </c>
      <c r="F57" s="6">
        <v>0.65300000000000002</v>
      </c>
      <c r="G57" s="6">
        <v>0.65300000000000002</v>
      </c>
      <c r="H57" s="6">
        <v>0.65300000000000002</v>
      </c>
      <c r="I57" s="6">
        <v>0.65300000000000002</v>
      </c>
      <c r="J57" s="6">
        <v>0.65300000000000002</v>
      </c>
      <c r="K57" s="6">
        <v>0.65300000000000002</v>
      </c>
      <c r="L57" s="6">
        <v>0.65300000000000002</v>
      </c>
      <c r="M57" s="6">
        <v>0.65300000000000002</v>
      </c>
      <c r="N57" s="6">
        <v>0.65300000000000002</v>
      </c>
      <c r="O57" s="6">
        <v>0.65300000000000002</v>
      </c>
      <c r="P57" s="6">
        <v>0.65300000000000002</v>
      </c>
      <c r="Q57" s="6">
        <v>0.65300000000000002</v>
      </c>
      <c r="R57" s="6">
        <v>0.65300000000000002</v>
      </c>
      <c r="S57" s="6">
        <v>0.65300000000000002</v>
      </c>
      <c r="T57" s="6">
        <v>0.65300000000000002</v>
      </c>
      <c r="U57" s="6">
        <v>0.65300000000000002</v>
      </c>
      <c r="V57" s="6">
        <v>0.65300000000000002</v>
      </c>
      <c r="W57" s="6">
        <v>0.65300000000000002</v>
      </c>
      <c r="X57" s="6">
        <v>0.65300000000000002</v>
      </c>
      <c r="Y57" s="6">
        <v>0.65300000000000002</v>
      </c>
      <c r="Z57" s="6">
        <v>0.65300000000000002</v>
      </c>
      <c r="AA57" s="6">
        <v>0.65300000000000002</v>
      </c>
      <c r="AB57" s="6">
        <v>0.65300000000000002</v>
      </c>
      <c r="AC57" s="6">
        <v>0.65300000000000002</v>
      </c>
      <c r="AD57" s="6">
        <v>0.65300000000000002</v>
      </c>
      <c r="AE57" s="6">
        <v>0.65300000000000002</v>
      </c>
      <c r="AF57" s="6">
        <v>0.65300000000000002</v>
      </c>
      <c r="AG57" s="6">
        <v>0.65300000000000002</v>
      </c>
      <c r="AH57" s="6">
        <v>0.65300000000000002</v>
      </c>
    </row>
    <row r="58" spans="1:34">
      <c r="A58" s="7">
        <f>ROWS($A$4:A57)</f>
        <v>54</v>
      </c>
      <c r="B58" s="8" t="s">
        <v>396</v>
      </c>
      <c r="C58" s="22" t="s">
        <v>179</v>
      </c>
      <c r="D58" s="6">
        <v>0.84250000000000003</v>
      </c>
      <c r="E58" s="6">
        <v>0.84250000000000003</v>
      </c>
      <c r="F58" s="6">
        <v>0.84250000000000003</v>
      </c>
      <c r="G58" s="6">
        <v>0.84250000000000003</v>
      </c>
      <c r="H58" s="6">
        <v>0.84250000000000003</v>
      </c>
      <c r="I58" s="6">
        <v>0.84250000000000003</v>
      </c>
      <c r="J58" s="6">
        <v>0.84250000000000003</v>
      </c>
      <c r="K58" s="6">
        <v>0.84250000000000003</v>
      </c>
      <c r="L58" s="6">
        <v>0.84250000000000003</v>
      </c>
      <c r="M58" s="6">
        <v>0.84250000000000003</v>
      </c>
      <c r="N58" s="6">
        <v>0.84250000000000003</v>
      </c>
      <c r="O58" s="6">
        <v>0.84250000000000003</v>
      </c>
      <c r="P58" s="6">
        <v>0.84250000000000003</v>
      </c>
      <c r="Q58" s="6">
        <v>0.84250000000000003</v>
      </c>
      <c r="R58" s="6">
        <v>0.84250000000000003</v>
      </c>
      <c r="S58" s="6">
        <v>0.84250000000000003</v>
      </c>
      <c r="T58" s="6">
        <v>0.84250000000000003</v>
      </c>
      <c r="U58" s="6">
        <v>0.84250000000000003</v>
      </c>
      <c r="V58" s="6">
        <v>0.84250000000000003</v>
      </c>
      <c r="W58" s="6">
        <v>0.84250000000000003</v>
      </c>
      <c r="X58" s="6">
        <v>0.84250000000000003</v>
      </c>
      <c r="Y58" s="6">
        <v>0.84250000000000003</v>
      </c>
      <c r="Z58" s="6">
        <v>0.84250000000000003</v>
      </c>
      <c r="AA58" s="6">
        <v>0.84250000000000003</v>
      </c>
      <c r="AB58" s="6">
        <v>0.84250000000000003</v>
      </c>
      <c r="AC58" s="6">
        <v>0.84250000000000003</v>
      </c>
      <c r="AD58" s="6">
        <v>0.84250000000000003</v>
      </c>
      <c r="AE58" s="6">
        <v>0.84250000000000003</v>
      </c>
      <c r="AF58" s="6">
        <v>0.84250000000000003</v>
      </c>
      <c r="AG58" s="6">
        <v>0.84250000000000003</v>
      </c>
      <c r="AH58" s="6">
        <v>0.84250000000000003</v>
      </c>
    </row>
    <row r="59" spans="1:34">
      <c r="A59" s="7">
        <f>ROWS($A$4:A58)</f>
        <v>55</v>
      </c>
      <c r="B59" s="8" t="s">
        <v>397</v>
      </c>
      <c r="C59" s="22" t="s">
        <v>181</v>
      </c>
      <c r="D59" s="6">
        <v>0.84250000000000003</v>
      </c>
      <c r="E59" s="6">
        <v>0.84250000000000003</v>
      </c>
      <c r="F59" s="6">
        <v>0.84250000000000003</v>
      </c>
      <c r="G59" s="6">
        <v>0.84250000000000003</v>
      </c>
      <c r="H59" s="6">
        <v>0.84250000000000003</v>
      </c>
      <c r="I59" s="6">
        <v>0.84250000000000003</v>
      </c>
      <c r="J59" s="6">
        <v>0.84250000000000003</v>
      </c>
      <c r="K59" s="6">
        <v>0.84250000000000003</v>
      </c>
      <c r="L59" s="6">
        <v>0.84250000000000003</v>
      </c>
      <c r="M59" s="6">
        <v>0.84250000000000003</v>
      </c>
      <c r="N59" s="6">
        <v>0.84250000000000003</v>
      </c>
      <c r="O59" s="6">
        <v>0.84250000000000003</v>
      </c>
      <c r="P59" s="6">
        <v>0.84250000000000003</v>
      </c>
      <c r="Q59" s="6">
        <v>0.84250000000000003</v>
      </c>
      <c r="R59" s="6">
        <v>0.84250000000000003</v>
      </c>
      <c r="S59" s="6">
        <v>0.84250000000000003</v>
      </c>
      <c r="T59" s="6">
        <v>0.84250000000000003</v>
      </c>
      <c r="U59" s="6">
        <v>0.84250000000000003</v>
      </c>
      <c r="V59" s="6">
        <v>0.84250000000000003</v>
      </c>
      <c r="W59" s="6">
        <v>0.84250000000000003</v>
      </c>
      <c r="X59" s="6">
        <v>0.84250000000000003</v>
      </c>
      <c r="Y59" s="6">
        <v>0.84250000000000003</v>
      </c>
      <c r="Z59" s="6">
        <v>0.84250000000000003</v>
      </c>
      <c r="AA59" s="6">
        <v>0.84250000000000003</v>
      </c>
      <c r="AB59" s="6">
        <v>0.84250000000000003</v>
      </c>
      <c r="AC59" s="6">
        <v>0.84250000000000003</v>
      </c>
      <c r="AD59" s="6">
        <v>0.84250000000000003</v>
      </c>
      <c r="AE59" s="6">
        <v>0.84250000000000003</v>
      </c>
      <c r="AF59" s="6">
        <v>0.84250000000000003</v>
      </c>
      <c r="AG59" s="6">
        <v>0.84250000000000003</v>
      </c>
      <c r="AH59" s="6">
        <v>0.84250000000000003</v>
      </c>
    </row>
    <row r="60" spans="1:34">
      <c r="A60" s="7">
        <f>ROWS($A$4:A59)</f>
        <v>56</v>
      </c>
      <c r="B60" s="8" t="s">
        <v>398</v>
      </c>
      <c r="C60" s="22" t="s">
        <v>183</v>
      </c>
      <c r="D60" s="6">
        <v>0.84250000000000003</v>
      </c>
      <c r="E60" s="6">
        <v>0.84250000000000003</v>
      </c>
      <c r="F60" s="6">
        <v>0.84250000000000003</v>
      </c>
      <c r="G60" s="6">
        <v>0.84250000000000003</v>
      </c>
      <c r="H60" s="6">
        <v>0.84250000000000003</v>
      </c>
      <c r="I60" s="6">
        <v>0.84250000000000003</v>
      </c>
      <c r="J60" s="6">
        <v>0.84250000000000003</v>
      </c>
      <c r="K60" s="6">
        <v>0.84250000000000003</v>
      </c>
      <c r="L60" s="6">
        <v>0.84250000000000003</v>
      </c>
      <c r="M60" s="6">
        <v>0.84250000000000003</v>
      </c>
      <c r="N60" s="6">
        <v>0.84250000000000003</v>
      </c>
      <c r="O60" s="6">
        <v>0.84250000000000003</v>
      </c>
      <c r="P60" s="6">
        <v>0.84250000000000003</v>
      </c>
      <c r="Q60" s="6">
        <v>0.84250000000000003</v>
      </c>
      <c r="R60" s="6">
        <v>0.84250000000000003</v>
      </c>
      <c r="S60" s="6">
        <v>0.84250000000000003</v>
      </c>
      <c r="T60" s="6">
        <v>0.84250000000000003</v>
      </c>
      <c r="U60" s="6">
        <v>0.84250000000000003</v>
      </c>
      <c r="V60" s="6">
        <v>0.84250000000000003</v>
      </c>
      <c r="W60" s="6">
        <v>0.84250000000000003</v>
      </c>
      <c r="X60" s="6">
        <v>0.84250000000000003</v>
      </c>
      <c r="Y60" s="6">
        <v>0.84250000000000003</v>
      </c>
      <c r="Z60" s="6">
        <v>0.84250000000000003</v>
      </c>
      <c r="AA60" s="6">
        <v>0.84250000000000003</v>
      </c>
      <c r="AB60" s="6">
        <v>0.84250000000000003</v>
      </c>
      <c r="AC60" s="6">
        <v>0.84250000000000003</v>
      </c>
      <c r="AD60" s="6">
        <v>0.84250000000000003</v>
      </c>
      <c r="AE60" s="6">
        <v>0.84250000000000003</v>
      </c>
      <c r="AF60" s="6">
        <v>0.84250000000000003</v>
      </c>
      <c r="AG60" s="6">
        <v>0.84250000000000003</v>
      </c>
      <c r="AH60" s="6">
        <v>0.84250000000000003</v>
      </c>
    </row>
    <row r="61" spans="1:34">
      <c r="A61" s="7">
        <f>ROWS($A$4:A60)</f>
        <v>57</v>
      </c>
      <c r="B61" s="8" t="s">
        <v>449</v>
      </c>
      <c r="C61" s="22" t="s">
        <v>185</v>
      </c>
      <c r="D61" s="6">
        <v>0.84250000000000003</v>
      </c>
      <c r="E61" s="6">
        <v>0.84250000000000003</v>
      </c>
      <c r="F61" s="6">
        <v>0.84250000000000003</v>
      </c>
      <c r="G61" s="6">
        <v>0.84250000000000003</v>
      </c>
      <c r="H61" s="6">
        <v>0.84250000000000003</v>
      </c>
      <c r="I61" s="6">
        <v>0.84250000000000003</v>
      </c>
      <c r="J61" s="6">
        <v>0.84250000000000003</v>
      </c>
      <c r="K61" s="6">
        <v>0.84250000000000003</v>
      </c>
      <c r="L61" s="6">
        <v>0.84250000000000003</v>
      </c>
      <c r="M61" s="6">
        <v>0.84250000000000003</v>
      </c>
      <c r="N61" s="6">
        <v>0.84250000000000003</v>
      </c>
      <c r="O61" s="6">
        <v>0.84250000000000003</v>
      </c>
      <c r="P61" s="6">
        <v>0.84250000000000003</v>
      </c>
      <c r="Q61" s="6">
        <v>0.84250000000000003</v>
      </c>
      <c r="R61" s="6">
        <v>0.84250000000000003</v>
      </c>
      <c r="S61" s="6">
        <v>0.84250000000000003</v>
      </c>
      <c r="T61" s="6">
        <v>0.84250000000000003</v>
      </c>
      <c r="U61" s="6">
        <v>0.84250000000000003</v>
      </c>
      <c r="V61" s="6">
        <v>0.84250000000000003</v>
      </c>
      <c r="W61" s="6">
        <v>0.84250000000000003</v>
      </c>
      <c r="X61" s="6">
        <v>0.84250000000000003</v>
      </c>
      <c r="Y61" s="6">
        <v>0.84250000000000003</v>
      </c>
      <c r="Z61" s="6">
        <v>0.84250000000000003</v>
      </c>
      <c r="AA61" s="6">
        <v>0.84250000000000003</v>
      </c>
      <c r="AB61" s="6">
        <v>0.84250000000000003</v>
      </c>
      <c r="AC61" s="6">
        <v>0.84250000000000003</v>
      </c>
      <c r="AD61" s="6">
        <v>0.84250000000000003</v>
      </c>
      <c r="AE61" s="6">
        <v>0.84250000000000003</v>
      </c>
      <c r="AF61" s="6">
        <v>0.84250000000000003</v>
      </c>
      <c r="AG61" s="6">
        <v>0.84250000000000003</v>
      </c>
      <c r="AH61" s="6">
        <v>0.84250000000000003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110" zoomScaleNormal="110" workbookViewId="0">
      <pane xSplit="1" ySplit="4" topLeftCell="B5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RowHeight="14.5"/>
  <cols>
    <col min="1" max="1" width="21" bestFit="1" customWidth="1"/>
    <col min="2" max="2" width="24.7265625" customWidth="1"/>
    <col min="3" max="3" width="33.26953125" customWidth="1"/>
    <col min="4" max="4" width="17.81640625" customWidth="1"/>
  </cols>
  <sheetData>
    <row r="1" spans="1:4">
      <c r="A1" s="18" t="s">
        <v>0</v>
      </c>
      <c r="B1" s="19" t="s">
        <v>313</v>
      </c>
      <c r="C1" s="19" t="s">
        <v>314</v>
      </c>
      <c r="D1" s="19" t="s">
        <v>409</v>
      </c>
    </row>
    <row r="2" spans="1:4" ht="29">
      <c r="A2" s="18" t="s">
        <v>32</v>
      </c>
      <c r="B2" s="20" t="s">
        <v>249</v>
      </c>
      <c r="C2" s="20" t="s">
        <v>250</v>
      </c>
      <c r="D2" s="20" t="s">
        <v>251</v>
      </c>
    </row>
    <row r="3" spans="1:4">
      <c r="A3" s="18" t="s">
        <v>66</v>
      </c>
      <c r="B3" s="19" t="s">
        <v>67</v>
      </c>
      <c r="C3" s="19" t="s">
        <v>68</v>
      </c>
      <c r="D3" s="19" t="s">
        <v>67</v>
      </c>
    </row>
    <row r="4" spans="1:4">
      <c r="A4" s="18" t="s">
        <v>69</v>
      </c>
      <c r="B4" s="19" t="s">
        <v>70</v>
      </c>
      <c r="C4" s="19" t="s">
        <v>70</v>
      </c>
      <c r="D4" s="19" t="s">
        <v>71</v>
      </c>
    </row>
    <row r="5" spans="1:4" ht="29">
      <c r="A5" s="26">
        <v>1</v>
      </c>
      <c r="B5" s="39" t="s">
        <v>399</v>
      </c>
      <c r="C5" s="40" t="s">
        <v>481</v>
      </c>
      <c r="D5" s="41">
        <v>0.1</v>
      </c>
    </row>
    <row r="6" spans="1:4">
      <c r="A6" s="26">
        <v>2</v>
      </c>
      <c r="B6" s="39" t="s">
        <v>400</v>
      </c>
      <c r="C6" s="40" t="s">
        <v>415</v>
      </c>
      <c r="D6" s="41">
        <v>0.4</v>
      </c>
    </row>
    <row r="7" spans="1:4" ht="58">
      <c r="A7" s="26">
        <v>3</v>
      </c>
      <c r="B7" s="39" t="s">
        <v>401</v>
      </c>
      <c r="C7" s="40" t="s">
        <v>416</v>
      </c>
      <c r="D7" s="41">
        <v>0.5</v>
      </c>
    </row>
    <row r="8" spans="1:4" ht="43.5">
      <c r="A8" s="26">
        <v>4</v>
      </c>
      <c r="B8" s="39" t="s">
        <v>402</v>
      </c>
      <c r="C8" s="40" t="s">
        <v>482</v>
      </c>
      <c r="D8" s="41">
        <v>0.2</v>
      </c>
    </row>
    <row r="9" spans="1:4" ht="29">
      <c r="A9" s="26">
        <v>5</v>
      </c>
      <c r="B9" s="39" t="s">
        <v>403</v>
      </c>
      <c r="C9" s="40" t="s">
        <v>483</v>
      </c>
      <c r="D9" s="41">
        <v>1</v>
      </c>
    </row>
    <row r="10" spans="1:4">
      <c r="A10" s="26">
        <v>6</v>
      </c>
      <c r="B10" s="39" t="s">
        <v>404</v>
      </c>
      <c r="C10" s="40" t="s">
        <v>252</v>
      </c>
      <c r="D10" s="4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9252-6781-4516-B416-BD95882F8F0F}">
  <dimension ref="A1:C17"/>
  <sheetViews>
    <sheetView zoomScale="85" zoomScaleNormal="85" workbookViewId="0">
      <selection activeCell="C39" sqref="C39"/>
    </sheetView>
  </sheetViews>
  <sheetFormatPr defaultRowHeight="14.5"/>
  <cols>
    <col min="1" max="1" width="20.7265625" customWidth="1"/>
    <col min="2" max="2" width="61.453125" bestFit="1" customWidth="1"/>
    <col min="3" max="3" width="35.1796875" customWidth="1"/>
  </cols>
  <sheetData>
    <row r="1" spans="1:3">
      <c r="A1" s="1" t="s">
        <v>0</v>
      </c>
      <c r="B1" s="9" t="s">
        <v>468</v>
      </c>
      <c r="C1" s="19" t="s">
        <v>313</v>
      </c>
    </row>
    <row r="2" spans="1:3" ht="29">
      <c r="A2" s="1" t="s">
        <v>32</v>
      </c>
      <c r="B2" s="10" t="s">
        <v>469</v>
      </c>
      <c r="C2" s="20" t="s">
        <v>249</v>
      </c>
    </row>
    <row r="3" spans="1:3">
      <c r="A3" s="1" t="s">
        <v>66</v>
      </c>
      <c r="B3" s="9" t="s">
        <v>67</v>
      </c>
      <c r="C3" s="19" t="s">
        <v>67</v>
      </c>
    </row>
    <row r="4" spans="1:3">
      <c r="A4" s="1" t="s">
        <v>69</v>
      </c>
      <c r="B4" s="9" t="s">
        <v>70</v>
      </c>
      <c r="C4" s="19" t="s">
        <v>70</v>
      </c>
    </row>
    <row r="5" spans="1:3">
      <c r="A5" s="26">
        <v>1</v>
      </c>
      <c r="B5" s="3" t="s">
        <v>470</v>
      </c>
      <c r="C5" s="29" t="s">
        <v>400</v>
      </c>
    </row>
    <row r="6" spans="1:3">
      <c r="A6" s="26">
        <v>2</v>
      </c>
      <c r="B6" s="3" t="s">
        <v>471</v>
      </c>
      <c r="C6" s="29" t="s">
        <v>403</v>
      </c>
    </row>
    <row r="7" spans="1:3">
      <c r="A7" s="26">
        <v>3</v>
      </c>
      <c r="B7" s="3" t="s">
        <v>472</v>
      </c>
      <c r="C7" s="29" t="s">
        <v>400</v>
      </c>
    </row>
    <row r="8" spans="1:3">
      <c r="A8" s="26">
        <v>4</v>
      </c>
      <c r="B8" s="3" t="s">
        <v>473</v>
      </c>
      <c r="C8" s="29" t="s">
        <v>403</v>
      </c>
    </row>
    <row r="9" spans="1:3">
      <c r="A9" s="26">
        <v>5</v>
      </c>
      <c r="B9" s="3" t="s">
        <v>474</v>
      </c>
      <c r="C9" s="29" t="s">
        <v>400</v>
      </c>
    </row>
    <row r="10" spans="1:3">
      <c r="A10" s="26">
        <v>6</v>
      </c>
      <c r="B10" s="3" t="s">
        <v>475</v>
      </c>
      <c r="C10" s="29" t="s">
        <v>401</v>
      </c>
    </row>
    <row r="11" spans="1:3">
      <c r="A11" s="26">
        <v>7</v>
      </c>
      <c r="B11" s="3" t="s">
        <v>476</v>
      </c>
      <c r="C11" s="29" t="s">
        <v>399</v>
      </c>
    </row>
    <row r="12" spans="1:3">
      <c r="A12" s="26">
        <v>8</v>
      </c>
      <c r="B12" s="3" t="s">
        <v>477</v>
      </c>
      <c r="C12" s="29" t="s">
        <v>399</v>
      </c>
    </row>
    <row r="13" spans="1:3">
      <c r="A13" s="26">
        <v>9</v>
      </c>
      <c r="B13" s="3" t="s">
        <v>478</v>
      </c>
      <c r="C13" s="29" t="s">
        <v>401</v>
      </c>
    </row>
    <row r="14" spans="1:3">
      <c r="A14" s="26">
        <v>10</v>
      </c>
      <c r="B14" s="3" t="s">
        <v>479</v>
      </c>
      <c r="C14" s="29" t="s">
        <v>403</v>
      </c>
    </row>
    <row r="15" spans="1:3">
      <c r="A15" s="26">
        <v>11</v>
      </c>
      <c r="B15" s="3" t="s">
        <v>459</v>
      </c>
      <c r="C15" s="29" t="s">
        <v>402</v>
      </c>
    </row>
    <row r="16" spans="1:3">
      <c r="A16" s="26">
        <v>12</v>
      </c>
      <c r="B16" s="3" t="s">
        <v>457</v>
      </c>
      <c r="C16" s="29" t="s">
        <v>401</v>
      </c>
    </row>
    <row r="17" spans="1:3">
      <c r="A17" s="26">
        <v>13</v>
      </c>
      <c r="B17" s="3" t="s">
        <v>480</v>
      </c>
      <c r="C17" s="29" t="s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074C-EC13-4E12-839E-12A883B7E844}">
  <dimension ref="A1:D10"/>
  <sheetViews>
    <sheetView zoomScale="112" zoomScaleNormal="130" workbookViewId="0">
      <pane xSplit="1" ySplit="4" topLeftCell="B5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4" max="4" width="30.54296875" customWidth="1"/>
  </cols>
  <sheetData>
    <row r="1" spans="1:4">
      <c r="A1" s="18" t="s">
        <v>0</v>
      </c>
      <c r="B1" s="19" t="s">
        <v>315</v>
      </c>
      <c r="C1" s="19" t="s">
        <v>314</v>
      </c>
      <c r="D1" s="19" t="s">
        <v>316</v>
      </c>
    </row>
    <row r="2" spans="1:4" ht="29">
      <c r="A2" s="18" t="s">
        <v>32</v>
      </c>
      <c r="B2" s="20" t="s">
        <v>253</v>
      </c>
      <c r="C2" s="20" t="s">
        <v>254</v>
      </c>
      <c r="D2" s="20" t="s">
        <v>255</v>
      </c>
    </row>
    <row r="3" spans="1:4">
      <c r="A3" s="18" t="s">
        <v>66</v>
      </c>
      <c r="B3" s="19" t="s">
        <v>67</v>
      </c>
      <c r="C3" s="19" t="s">
        <v>68</v>
      </c>
      <c r="D3" s="19" t="s">
        <v>67</v>
      </c>
    </row>
    <row r="4" spans="1:4">
      <c r="A4" s="18" t="s">
        <v>69</v>
      </c>
      <c r="B4" s="19" t="s">
        <v>70</v>
      </c>
      <c r="C4" s="19" t="s">
        <v>70</v>
      </c>
      <c r="D4" s="19" t="s">
        <v>71</v>
      </c>
    </row>
    <row r="5" spans="1:4">
      <c r="A5" s="26">
        <v>1</v>
      </c>
      <c r="B5" s="30" t="s">
        <v>256</v>
      </c>
      <c r="C5" s="29" t="s">
        <v>257</v>
      </c>
      <c r="D5" s="31">
        <v>30</v>
      </c>
    </row>
    <row r="6" spans="1:4">
      <c r="A6" s="26">
        <v>2</v>
      </c>
      <c r="B6" s="30" t="s">
        <v>405</v>
      </c>
      <c r="C6" s="29" t="s">
        <v>406</v>
      </c>
      <c r="D6" s="31">
        <v>472.2</v>
      </c>
    </row>
    <row r="7" spans="1:4">
      <c r="A7" s="26">
        <v>3</v>
      </c>
      <c r="B7" s="30" t="s">
        <v>407</v>
      </c>
      <c r="C7" s="29" t="s">
        <v>408</v>
      </c>
      <c r="D7" s="31">
        <v>1</v>
      </c>
    </row>
    <row r="8" spans="1:4">
      <c r="A8" s="26">
        <v>4</v>
      </c>
      <c r="B8" s="30" t="s">
        <v>417</v>
      </c>
      <c r="C8" s="29" t="s">
        <v>418</v>
      </c>
      <c r="D8" s="31">
        <v>365</v>
      </c>
    </row>
    <row r="9" spans="1:4">
      <c r="A9" s="26">
        <v>5</v>
      </c>
      <c r="B9" s="30" t="s">
        <v>419</v>
      </c>
      <c r="C9" s="29" t="s">
        <v>420</v>
      </c>
      <c r="D9" s="31">
        <v>365</v>
      </c>
    </row>
    <row r="10" spans="1:4">
      <c r="A10" s="26">
        <v>6</v>
      </c>
      <c r="B10" s="30" t="s">
        <v>421</v>
      </c>
      <c r="C10" s="29" t="s">
        <v>422</v>
      </c>
      <c r="D10" s="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651D-2EC8-4E96-A3D1-78A4CC00A6A3}">
  <dimension ref="A1:G17"/>
  <sheetViews>
    <sheetView zoomScale="94" zoomScaleNormal="115" workbookViewId="0">
      <pane xSplit="1" ySplit="4" topLeftCell="C5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2" max="7" width="30.54296875" customWidth="1"/>
  </cols>
  <sheetData>
    <row r="1" spans="1:7">
      <c r="A1" s="1" t="s">
        <v>0</v>
      </c>
      <c r="B1" s="9" t="s">
        <v>317</v>
      </c>
      <c r="C1" s="9" t="s">
        <v>318</v>
      </c>
      <c r="D1" s="9" t="s">
        <v>319</v>
      </c>
      <c r="E1" s="9" t="s">
        <v>320</v>
      </c>
      <c r="F1" s="9" t="s">
        <v>321</v>
      </c>
      <c r="G1" s="9" t="s">
        <v>322</v>
      </c>
    </row>
    <row r="2" spans="1:7" ht="43.5">
      <c r="A2" s="1" t="s">
        <v>32</v>
      </c>
      <c r="B2" s="10" t="s">
        <v>258</v>
      </c>
      <c r="C2" s="10" t="s">
        <v>259</v>
      </c>
      <c r="D2" s="10" t="s">
        <v>260</v>
      </c>
      <c r="E2" s="10" t="s">
        <v>261</v>
      </c>
      <c r="F2" s="10" t="s">
        <v>261</v>
      </c>
      <c r="G2" s="10" t="s">
        <v>262</v>
      </c>
    </row>
    <row r="3" spans="1:7">
      <c r="A3" s="1" t="s">
        <v>66</v>
      </c>
      <c r="B3" s="9" t="s">
        <v>67</v>
      </c>
      <c r="C3" s="9" t="s">
        <v>67</v>
      </c>
      <c r="D3" s="9" t="s">
        <v>67</v>
      </c>
      <c r="E3" s="9" t="s">
        <v>67</v>
      </c>
      <c r="F3" s="9" t="s">
        <v>67</v>
      </c>
      <c r="G3" s="9" t="s">
        <v>67</v>
      </c>
    </row>
    <row r="4" spans="1:7">
      <c r="A4" s="1" t="s">
        <v>69</v>
      </c>
      <c r="B4" s="9" t="s">
        <v>70</v>
      </c>
      <c r="C4" s="9" t="s">
        <v>70</v>
      </c>
      <c r="D4" s="9" t="s">
        <v>70</v>
      </c>
      <c r="E4" s="9" t="s">
        <v>71</v>
      </c>
      <c r="F4" s="9" t="s">
        <v>71</v>
      </c>
      <c r="G4" s="9" t="s">
        <v>71</v>
      </c>
    </row>
    <row r="5" spans="1:7">
      <c r="A5" s="2">
        <f>ROWS($A$4:A4)</f>
        <v>1</v>
      </c>
      <c r="B5" s="3" t="s">
        <v>263</v>
      </c>
      <c r="C5" s="3" t="s">
        <v>264</v>
      </c>
      <c r="D5" s="3" t="s">
        <v>265</v>
      </c>
      <c r="E5" s="12">
        <v>0</v>
      </c>
      <c r="F5" s="12">
        <v>1</v>
      </c>
      <c r="G5" s="15">
        <v>0.76552011823963095</v>
      </c>
    </row>
    <row r="6" spans="1:7">
      <c r="A6" s="2">
        <f>ROWS($A$4:A5)</f>
        <v>2</v>
      </c>
      <c r="B6" s="3" t="s">
        <v>263</v>
      </c>
      <c r="C6" s="3" t="s">
        <v>266</v>
      </c>
      <c r="D6" s="3" t="s">
        <v>414</v>
      </c>
      <c r="E6" s="12">
        <v>0</v>
      </c>
      <c r="F6" s="12">
        <v>1</v>
      </c>
      <c r="G6" s="15">
        <v>-3.90007986616552</v>
      </c>
    </row>
    <row r="7" spans="1:7">
      <c r="A7" s="2">
        <f>ROWS($A$4:A6)</f>
        <v>3</v>
      </c>
      <c r="B7" s="3" t="s">
        <v>263</v>
      </c>
      <c r="C7" s="3" t="s">
        <v>268</v>
      </c>
      <c r="D7" s="3" t="s">
        <v>270</v>
      </c>
      <c r="E7" s="12">
        <v>0</v>
      </c>
      <c r="F7" s="12">
        <v>1</v>
      </c>
      <c r="G7" s="15">
        <v>1.3737161052586999</v>
      </c>
    </row>
    <row r="8" spans="1:7">
      <c r="A8" s="2">
        <f>ROWS($A$4:A7)</f>
        <v>4</v>
      </c>
      <c r="B8" s="3" t="s">
        <v>263</v>
      </c>
      <c r="C8" s="3" t="s">
        <v>269</v>
      </c>
      <c r="D8" s="3" t="s">
        <v>270</v>
      </c>
      <c r="E8" s="12">
        <v>0</v>
      </c>
      <c r="F8" s="12">
        <v>1</v>
      </c>
      <c r="G8" s="15">
        <v>2.03005898888666</v>
      </c>
    </row>
    <row r="9" spans="1:7">
      <c r="A9" s="13">
        <f>ROWS($A$4:A8)</f>
        <v>5</v>
      </c>
      <c r="B9" s="11" t="s">
        <v>271</v>
      </c>
      <c r="C9" s="11" t="s">
        <v>266</v>
      </c>
      <c r="D9" s="11" t="s">
        <v>270</v>
      </c>
      <c r="E9" s="14">
        <v>0</v>
      </c>
      <c r="F9" s="14">
        <v>1</v>
      </c>
      <c r="G9" s="16">
        <v>-1.7802318856812001</v>
      </c>
    </row>
    <row r="10" spans="1:7">
      <c r="A10" s="13">
        <f>ROWS($A$4:A9)</f>
        <v>6</v>
      </c>
      <c r="B10" s="11" t="s">
        <v>271</v>
      </c>
      <c r="C10" s="11" t="s">
        <v>264</v>
      </c>
      <c r="D10" s="11" t="s">
        <v>265</v>
      </c>
      <c r="E10" s="14">
        <v>0</v>
      </c>
      <c r="F10" s="14">
        <v>1</v>
      </c>
      <c r="G10" s="16">
        <v>0.472608327656653</v>
      </c>
    </row>
    <row r="11" spans="1:7">
      <c r="A11" s="13">
        <f>ROWS($A$4:A10)</f>
        <v>7</v>
      </c>
      <c r="B11" s="11" t="s">
        <v>271</v>
      </c>
      <c r="C11" s="11" t="s">
        <v>268</v>
      </c>
      <c r="D11" s="11" t="s">
        <v>270</v>
      </c>
      <c r="E11" s="14">
        <v>0</v>
      </c>
      <c r="F11" s="14">
        <v>1</v>
      </c>
      <c r="G11" s="16">
        <v>1.4770893215774401</v>
      </c>
    </row>
    <row r="12" spans="1:7">
      <c r="A12" s="13">
        <f>ROWS($A$4:A11)</f>
        <v>8</v>
      </c>
      <c r="B12" s="11" t="s">
        <v>271</v>
      </c>
      <c r="C12" s="11" t="s">
        <v>269</v>
      </c>
      <c r="D12" s="11" t="s">
        <v>270</v>
      </c>
      <c r="E12" s="14">
        <v>0</v>
      </c>
      <c r="F12" s="14">
        <v>1</v>
      </c>
      <c r="G12" s="16">
        <v>1.13764077231962</v>
      </c>
    </row>
    <row r="13" spans="1:7">
      <c r="A13" s="2">
        <f>ROWS($A$4:A12)</f>
        <v>9</v>
      </c>
      <c r="B13" s="3" t="s">
        <v>272</v>
      </c>
      <c r="C13" s="3" t="s">
        <v>264</v>
      </c>
      <c r="D13" s="3" t="s">
        <v>273</v>
      </c>
      <c r="E13" s="12">
        <v>0</v>
      </c>
      <c r="F13" s="12">
        <v>1</v>
      </c>
      <c r="G13" s="15">
        <v>0.60954044365940696</v>
      </c>
    </row>
    <row r="14" spans="1:7">
      <c r="A14" s="2">
        <f>ROWS($A$4:A13)</f>
        <v>10</v>
      </c>
      <c r="B14" s="3" t="s">
        <v>272</v>
      </c>
      <c r="C14" s="3" t="s">
        <v>266</v>
      </c>
      <c r="D14" s="3" t="s">
        <v>270</v>
      </c>
      <c r="E14" s="12">
        <v>0</v>
      </c>
      <c r="F14" s="12">
        <v>1</v>
      </c>
      <c r="G14" s="15">
        <v>-0.69492385265757695</v>
      </c>
    </row>
    <row r="15" spans="1:7">
      <c r="A15" s="2">
        <f>ROWS($A$4:A14)</f>
        <v>11</v>
      </c>
      <c r="B15" s="3" t="s">
        <v>272</v>
      </c>
      <c r="C15" s="3" t="s">
        <v>267</v>
      </c>
      <c r="D15" s="3" t="s">
        <v>270</v>
      </c>
      <c r="E15" s="12">
        <v>0</v>
      </c>
      <c r="F15" s="12">
        <v>1</v>
      </c>
      <c r="G15" s="15">
        <v>0.69684061474221604</v>
      </c>
    </row>
    <row r="16" spans="1:7">
      <c r="A16" s="2">
        <f>ROWS($A$4:A15)</f>
        <v>12</v>
      </c>
      <c r="B16" s="3" t="s">
        <v>272</v>
      </c>
      <c r="C16" s="3" t="s">
        <v>268</v>
      </c>
      <c r="D16" s="3" t="s">
        <v>414</v>
      </c>
      <c r="E16" s="12">
        <v>0</v>
      </c>
      <c r="F16" s="12">
        <v>1</v>
      </c>
      <c r="G16" s="15">
        <v>1.20651253353361</v>
      </c>
    </row>
    <row r="17" spans="1:7">
      <c r="A17" s="2">
        <f>ROWS($A$4:A16)</f>
        <v>13</v>
      </c>
      <c r="B17" s="3" t="s">
        <v>272</v>
      </c>
      <c r="C17" s="3" t="s">
        <v>269</v>
      </c>
      <c r="D17" s="3" t="s">
        <v>270</v>
      </c>
      <c r="E17" s="12">
        <v>0</v>
      </c>
      <c r="F17" s="12">
        <v>1</v>
      </c>
      <c r="G17" s="15">
        <v>1.25251864902252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2B7F-65C5-4C34-9328-D34AC473881F}">
  <dimension ref="A1:D22"/>
  <sheetViews>
    <sheetView zoomScaleNormal="100" workbookViewId="0">
      <pane xSplit="1" ySplit="4" topLeftCell="B5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ColWidth="30.54296875" defaultRowHeight="14.5"/>
  <cols>
    <col min="1" max="1" width="21" bestFit="1" customWidth="1"/>
    <col min="2" max="3" width="30.54296875" customWidth="1"/>
  </cols>
  <sheetData>
    <row r="1" spans="1:4">
      <c r="A1" s="1" t="s">
        <v>0</v>
      </c>
      <c r="B1" s="9" t="s">
        <v>303</v>
      </c>
      <c r="C1" s="9" t="s">
        <v>302</v>
      </c>
      <c r="D1" s="9" t="s">
        <v>486</v>
      </c>
    </row>
    <row r="2" spans="1:4">
      <c r="A2" s="1" t="s">
        <v>32</v>
      </c>
      <c r="B2" s="10" t="s">
        <v>304</v>
      </c>
      <c r="C2" s="10" t="s">
        <v>305</v>
      </c>
      <c r="D2" s="10" t="s">
        <v>485</v>
      </c>
    </row>
    <row r="3" spans="1:4">
      <c r="A3" s="1" t="s">
        <v>66</v>
      </c>
      <c r="B3" s="9" t="s">
        <v>67</v>
      </c>
      <c r="C3" s="9" t="s">
        <v>67</v>
      </c>
      <c r="D3" s="9" t="s">
        <v>67</v>
      </c>
    </row>
    <row r="4" spans="1:4">
      <c r="A4" s="1" t="s">
        <v>69</v>
      </c>
      <c r="B4" s="9" t="s">
        <v>327</v>
      </c>
      <c r="C4" s="9" t="s">
        <v>284</v>
      </c>
      <c r="D4" s="9" t="s">
        <v>284</v>
      </c>
    </row>
    <row r="5" spans="1:4">
      <c r="A5" s="2">
        <f>ROWS($A$4:A4)</f>
        <v>1</v>
      </c>
      <c r="B5" s="3" t="s">
        <v>285</v>
      </c>
      <c r="C5" s="3">
        <v>1</v>
      </c>
      <c r="D5" s="3">
        <v>3</v>
      </c>
    </row>
    <row r="6" spans="1:4">
      <c r="A6" s="2">
        <f>ROWS($A$4:A5)</f>
        <v>2</v>
      </c>
      <c r="B6" s="3" t="s">
        <v>286</v>
      </c>
      <c r="C6" s="3">
        <v>2</v>
      </c>
      <c r="D6" s="3">
        <v>3</v>
      </c>
    </row>
    <row r="7" spans="1:4">
      <c r="A7" s="2">
        <f>ROWS($A$4:A6)</f>
        <v>3</v>
      </c>
      <c r="B7" s="3" t="s">
        <v>287</v>
      </c>
      <c r="C7" s="3">
        <v>3</v>
      </c>
      <c r="D7" s="3">
        <v>3</v>
      </c>
    </row>
    <row r="8" spans="1:4">
      <c r="A8" s="2">
        <f>ROWS($A$4:A7)</f>
        <v>4</v>
      </c>
      <c r="B8" s="3" t="s">
        <v>288</v>
      </c>
      <c r="C8" s="3">
        <v>4</v>
      </c>
      <c r="D8" s="3">
        <v>3</v>
      </c>
    </row>
    <row r="9" spans="1:4">
      <c r="A9" s="2">
        <f>ROWS($A$4:A8)</f>
        <v>5</v>
      </c>
      <c r="B9" s="3" t="s">
        <v>289</v>
      </c>
      <c r="C9" s="3">
        <v>5</v>
      </c>
      <c r="D9" s="3">
        <v>3</v>
      </c>
    </row>
    <row r="10" spans="1:4">
      <c r="A10" s="2">
        <f>ROWS($A$4:A9)</f>
        <v>6</v>
      </c>
      <c r="B10" s="3" t="s">
        <v>290</v>
      </c>
      <c r="C10" s="3">
        <v>6</v>
      </c>
      <c r="D10" s="3">
        <v>3</v>
      </c>
    </row>
    <row r="11" spans="1:4">
      <c r="A11" s="2">
        <f>ROWS($A$4:A10)</f>
        <v>7</v>
      </c>
      <c r="B11" s="3" t="s">
        <v>291</v>
      </c>
      <c r="C11" s="3">
        <v>7</v>
      </c>
      <c r="D11" s="3">
        <v>3</v>
      </c>
    </row>
    <row r="12" spans="1:4">
      <c r="A12" s="2">
        <f>ROWS($A$4:A11)</f>
        <v>8</v>
      </c>
      <c r="B12" s="3" t="s">
        <v>292</v>
      </c>
      <c r="C12" s="3">
        <v>8</v>
      </c>
      <c r="D12" s="3">
        <v>3</v>
      </c>
    </row>
    <row r="13" spans="1:4">
      <c r="A13" s="2">
        <f>ROWS($A$4:A12)</f>
        <v>9</v>
      </c>
      <c r="B13" s="3" t="s">
        <v>293</v>
      </c>
      <c r="C13" s="3">
        <v>9</v>
      </c>
      <c r="D13" s="3">
        <v>3</v>
      </c>
    </row>
    <row r="14" spans="1:4">
      <c r="A14" s="2">
        <f>ROWS($A$4:A13)</f>
        <v>10</v>
      </c>
      <c r="B14" s="3" t="s">
        <v>294</v>
      </c>
      <c r="C14" s="3">
        <v>10</v>
      </c>
      <c r="D14" s="3">
        <v>3</v>
      </c>
    </row>
    <row r="15" spans="1:4">
      <c r="A15" s="2">
        <f>ROWS($A$4:A14)</f>
        <v>11</v>
      </c>
      <c r="B15" s="3" t="s">
        <v>295</v>
      </c>
      <c r="C15" s="3">
        <v>11</v>
      </c>
      <c r="D15" s="3">
        <v>3</v>
      </c>
    </row>
    <row r="16" spans="1:4">
      <c r="A16" s="2">
        <f>ROWS($A$4:A15)</f>
        <v>12</v>
      </c>
      <c r="B16" s="3" t="s">
        <v>296</v>
      </c>
      <c r="C16" s="3">
        <v>12</v>
      </c>
      <c r="D16" s="3">
        <v>3</v>
      </c>
    </row>
    <row r="17" spans="1:4">
      <c r="A17" s="2">
        <f>ROWS($A$4:A16)</f>
        <v>13</v>
      </c>
      <c r="B17" s="3" t="s">
        <v>297</v>
      </c>
      <c r="C17" s="3">
        <v>13</v>
      </c>
      <c r="D17" s="3">
        <v>3</v>
      </c>
    </row>
    <row r="18" spans="1:4">
      <c r="A18" s="2">
        <f>ROWS($A$4:A17)</f>
        <v>14</v>
      </c>
      <c r="B18" s="3" t="s">
        <v>298</v>
      </c>
      <c r="C18" s="3">
        <v>14</v>
      </c>
      <c r="D18" s="3">
        <v>3</v>
      </c>
    </row>
    <row r="19" spans="1:4">
      <c r="A19" s="2">
        <f>ROWS($A$4:A18)</f>
        <v>15</v>
      </c>
      <c r="B19" s="3" t="s">
        <v>299</v>
      </c>
      <c r="C19" s="3">
        <v>15</v>
      </c>
      <c r="D19" s="3">
        <v>3</v>
      </c>
    </row>
    <row r="20" spans="1:4">
      <c r="A20" s="2">
        <f>ROWS($A$4:A19)</f>
        <v>16</v>
      </c>
      <c r="B20" s="3" t="s">
        <v>300</v>
      </c>
      <c r="C20" s="3">
        <v>16</v>
      </c>
      <c r="D20" s="3">
        <v>3</v>
      </c>
    </row>
    <row r="21" spans="1:4">
      <c r="A21" s="2">
        <f>ROWS($A$4:A20)</f>
        <v>17</v>
      </c>
      <c r="B21" s="3" t="s">
        <v>301</v>
      </c>
      <c r="C21" s="3">
        <v>17</v>
      </c>
      <c r="D21" s="3">
        <v>3</v>
      </c>
    </row>
    <row r="22" spans="1:4">
      <c r="A22" s="2">
        <f>ROWS($A$4:A21)</f>
        <v>18</v>
      </c>
      <c r="B22" s="3" t="s">
        <v>306</v>
      </c>
      <c r="C22" s="3">
        <v>18</v>
      </c>
      <c r="D22" s="3">
        <v>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30D3-4832-410E-BD5F-B9D97B801F42}">
  <dimension ref="A1:C13"/>
  <sheetViews>
    <sheetView topLeftCell="B1" workbookViewId="0">
      <selection activeCell="C39" sqref="C39"/>
    </sheetView>
  </sheetViews>
  <sheetFormatPr defaultColWidth="30.54296875" defaultRowHeight="14.5"/>
  <cols>
    <col min="1" max="1" width="21" bestFit="1" customWidth="1"/>
  </cols>
  <sheetData>
    <row r="1" spans="1:3">
      <c r="A1" s="1" t="s">
        <v>0</v>
      </c>
      <c r="B1" s="9" t="s">
        <v>452</v>
      </c>
      <c r="C1" s="9" t="s">
        <v>453</v>
      </c>
    </row>
    <row r="2" spans="1:3" ht="43.5">
      <c r="A2" s="1" t="s">
        <v>32</v>
      </c>
      <c r="B2" s="10" t="s">
        <v>454</v>
      </c>
      <c r="C2" s="10" t="s">
        <v>455</v>
      </c>
    </row>
    <row r="3" spans="1:3">
      <c r="A3" s="1" t="s">
        <v>66</v>
      </c>
      <c r="B3" s="9" t="s">
        <v>67</v>
      </c>
      <c r="C3" s="9" t="s">
        <v>67</v>
      </c>
    </row>
    <row r="4" spans="1:3">
      <c r="A4" s="1" t="s">
        <v>69</v>
      </c>
      <c r="B4" s="9" t="s">
        <v>70</v>
      </c>
      <c r="C4" s="9" t="s">
        <v>70</v>
      </c>
    </row>
    <row r="5" spans="1:3">
      <c r="A5" s="2">
        <f>ROWS($A$4:A4)</f>
        <v>1</v>
      </c>
      <c r="B5" s="35">
        <v>61090000</v>
      </c>
      <c r="C5" s="35" t="s">
        <v>456</v>
      </c>
    </row>
    <row r="6" spans="1:3">
      <c r="A6" s="2">
        <f>ROWS($A$4:A5)</f>
        <v>2</v>
      </c>
      <c r="B6" s="35">
        <v>61170000</v>
      </c>
      <c r="C6" s="35" t="s">
        <v>456</v>
      </c>
    </row>
    <row r="7" spans="1:3">
      <c r="A7" s="2">
        <f>ROWS($A$4:A6)</f>
        <v>3</v>
      </c>
      <c r="B7" s="35">
        <v>61080000</v>
      </c>
      <c r="C7" s="35" t="s">
        <v>456</v>
      </c>
    </row>
    <row r="8" spans="1:3">
      <c r="A8" s="2">
        <f>ROWS($A$4:A7)</f>
        <v>4</v>
      </c>
      <c r="B8" s="35">
        <v>61010000</v>
      </c>
      <c r="C8" s="35" t="s">
        <v>456</v>
      </c>
    </row>
    <row r="9" spans="1:3">
      <c r="A9" s="2">
        <f>ROWS($A$4:A8)</f>
        <v>5</v>
      </c>
      <c r="B9" s="35">
        <v>61040000</v>
      </c>
      <c r="C9" s="35" t="s">
        <v>456</v>
      </c>
    </row>
    <row r="10" spans="1:3">
      <c r="A10" s="2">
        <f>ROWS($A$4:A9)</f>
        <v>6</v>
      </c>
      <c r="B10" s="35">
        <v>61070000</v>
      </c>
      <c r="C10" s="35" t="s">
        <v>457</v>
      </c>
    </row>
    <row r="11" spans="1:3">
      <c r="A11" s="2">
        <f>ROWS($A$4:A10)</f>
        <v>7</v>
      </c>
      <c r="B11" s="35">
        <v>61100000</v>
      </c>
      <c r="C11" s="35" t="s">
        <v>457</v>
      </c>
    </row>
    <row r="12" spans="1:3">
      <c r="A12" s="2">
        <f>ROWS($A$4:A11)</f>
        <v>8</v>
      </c>
      <c r="B12" s="35" t="s">
        <v>458</v>
      </c>
      <c r="C12" s="35" t="s">
        <v>459</v>
      </c>
    </row>
    <row r="13" spans="1:3">
      <c r="A13" s="2">
        <f>ROWS($A$4:A12)</f>
        <v>9</v>
      </c>
      <c r="B13" s="35" t="s">
        <v>460</v>
      </c>
      <c r="C13" s="35" t="s">
        <v>459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8356-1723-4F57-82F5-7820C1EC75BC}">
  <dimension ref="A1:E10"/>
  <sheetViews>
    <sheetView zoomScaleNormal="100" workbookViewId="0">
      <selection activeCell="C39" sqref="C39"/>
    </sheetView>
  </sheetViews>
  <sheetFormatPr defaultColWidth="30.54296875" defaultRowHeight="14.5"/>
  <cols>
    <col min="1" max="1" width="21" bestFit="1" customWidth="1"/>
    <col min="2" max="3" width="30.54296875" customWidth="1"/>
  </cols>
  <sheetData>
    <row r="1" spans="1:5">
      <c r="A1" s="1" t="s">
        <v>0</v>
      </c>
      <c r="B1" s="9" t="s">
        <v>274</v>
      </c>
      <c r="C1" s="9" t="s">
        <v>275</v>
      </c>
      <c r="D1" s="9" t="s">
        <v>276</v>
      </c>
      <c r="E1" s="9" t="s">
        <v>277</v>
      </c>
    </row>
    <row r="2" spans="1:5" ht="29">
      <c r="A2" s="1" t="s">
        <v>32</v>
      </c>
      <c r="B2" s="10" t="s">
        <v>278</v>
      </c>
      <c r="C2" s="10" t="s">
        <v>279</v>
      </c>
      <c r="D2" s="10" t="s">
        <v>280</v>
      </c>
      <c r="E2" s="10" t="s">
        <v>281</v>
      </c>
    </row>
    <row r="3" spans="1:5">
      <c r="A3" s="1" t="s">
        <v>66</v>
      </c>
      <c r="B3" s="9" t="s">
        <v>67</v>
      </c>
      <c r="C3" s="9" t="s">
        <v>67</v>
      </c>
      <c r="D3" s="9" t="s">
        <v>67</v>
      </c>
      <c r="E3" s="9" t="s">
        <v>67</v>
      </c>
    </row>
    <row r="4" spans="1:5">
      <c r="A4" s="1" t="s">
        <v>69</v>
      </c>
      <c r="B4" s="9" t="s">
        <v>70</v>
      </c>
      <c r="C4" s="9" t="s">
        <v>70</v>
      </c>
      <c r="D4" s="9" t="s">
        <v>71</v>
      </c>
      <c r="E4" s="9" t="s">
        <v>71</v>
      </c>
    </row>
    <row r="5" spans="1:5">
      <c r="A5" s="2">
        <f>ROWS($A$4:A4)</f>
        <v>1</v>
      </c>
      <c r="B5" s="36" t="s">
        <v>282</v>
      </c>
      <c r="C5" s="36" t="s">
        <v>283</v>
      </c>
      <c r="D5" s="36">
        <v>1</v>
      </c>
      <c r="E5" s="37">
        <v>1E-3</v>
      </c>
    </row>
    <row r="6" spans="1:5">
      <c r="A6" s="2">
        <f>ROWS($A$4:A5)</f>
        <v>2</v>
      </c>
      <c r="B6" s="36" t="s">
        <v>282</v>
      </c>
      <c r="C6" s="36" t="s">
        <v>283</v>
      </c>
      <c r="D6" s="36">
        <v>2</v>
      </c>
      <c r="E6" s="37">
        <v>0.05</v>
      </c>
    </row>
    <row r="7" spans="1:5">
      <c r="A7" s="2">
        <f>ROWS($A$4:A6)</f>
        <v>3</v>
      </c>
      <c r="B7" s="36" t="s">
        <v>282</v>
      </c>
      <c r="C7" s="36" t="s">
        <v>283</v>
      </c>
      <c r="D7" s="36">
        <v>3</v>
      </c>
      <c r="E7" s="37">
        <v>0.7</v>
      </c>
    </row>
    <row r="8" spans="1:5">
      <c r="A8" s="2">
        <f>ROWS($A$4:A7)</f>
        <v>4</v>
      </c>
      <c r="B8" s="36" t="s">
        <v>461</v>
      </c>
      <c r="C8" s="36" t="s">
        <v>462</v>
      </c>
      <c r="D8" s="36">
        <v>1</v>
      </c>
      <c r="E8" s="37">
        <v>1E-3</v>
      </c>
    </row>
    <row r="9" spans="1:5">
      <c r="A9" s="2">
        <f>ROWS($A$4:A8)</f>
        <v>5</v>
      </c>
      <c r="B9" s="36" t="s">
        <v>461</v>
      </c>
      <c r="C9" s="36" t="s">
        <v>462</v>
      </c>
      <c r="D9" s="36">
        <v>2</v>
      </c>
      <c r="E9" s="37">
        <v>0.05</v>
      </c>
    </row>
    <row r="10" spans="1:5">
      <c r="A10" s="2">
        <f>ROWS($A$4:A9)</f>
        <v>6</v>
      </c>
      <c r="B10" s="36" t="s">
        <v>461</v>
      </c>
      <c r="C10" s="36" t="s">
        <v>462</v>
      </c>
      <c r="D10" s="36">
        <v>3</v>
      </c>
      <c r="E10" s="37">
        <v>0.7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155D5D0CB344CACE1EF0D9965327F" ma:contentTypeVersion="4" ma:contentTypeDescription="Create a new document." ma:contentTypeScope="" ma:versionID="2decc5e805242c380ba2f35dfbfb82f1">
  <xsd:schema xmlns:xsd="http://www.w3.org/2001/XMLSchema" xmlns:xs="http://www.w3.org/2001/XMLSchema" xmlns:p="http://schemas.microsoft.com/office/2006/metadata/properties" xmlns:ns2="ed9ed159-2935-451d-8435-5177ffa57a7e" targetNamespace="http://schemas.microsoft.com/office/2006/metadata/properties" ma:root="true" ma:fieldsID="02f8b764708549731cce44585554b660" ns2:_="">
    <xsd:import namespace="ed9ed159-2935-451d-8435-5177ffa57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d159-2935-451d-8435-5177ffa57a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3E2AF-8C3B-41FC-9109-2FF2F8FA6469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ed9ed159-2935-451d-8435-5177ffa57a7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F0D6D36-EF32-452A-8B5D-FEDE5041E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ed159-2935-451d-8435-5177ffa57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0D8996-B2D9-40D4-906B-F40CF6DA37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repayment_type</vt:lpstr>
      <vt:lpstr>PD_term_structure</vt:lpstr>
      <vt:lpstr>LGD_approach</vt:lpstr>
      <vt:lpstr>Prepayment_parameter</vt:lpstr>
      <vt:lpstr>LGD_term_structure</vt:lpstr>
      <vt:lpstr>EAD_parameter</vt:lpstr>
      <vt:lpstr>EAD_approach</vt:lpstr>
      <vt:lpstr>Lifetime_parameter</vt:lpstr>
      <vt:lpstr>MEFmodel</vt:lpstr>
      <vt:lpstr>Notch_mapping</vt:lpstr>
      <vt:lpstr>Proxy_mapping</vt:lpstr>
      <vt:lpstr>ProxyECL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YH Cheng</dc:creator>
  <cp:keywords/>
  <dc:description/>
  <cp:lastModifiedBy>Sophia SC Zhang</cp:lastModifiedBy>
  <cp:revision/>
  <dcterms:created xsi:type="dcterms:W3CDTF">2015-06-05T18:17:20Z</dcterms:created>
  <dcterms:modified xsi:type="dcterms:W3CDTF">2025-05-20T06:10:51Z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0x010100B0A155D5D0CB344CACE1EF0D9965327F</vt:lpwstr>
  </property>
</Properties>
</file>