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814XM\Engagement\01_CNCBI\CNCBI_ECL_Engine\02_engine_server\99_data\02_param_upload_folder\"/>
    </mc:Choice>
  </mc:AlternateContent>
  <xr:revisionPtr revIDLastSave="0" documentId="13_ncr:1_{6E85E4B3-4DB4-4FDE-871A-50FEC240701C}" xr6:coauthVersionLast="47" xr6:coauthVersionMax="47" xr10:uidLastSave="{00000000-0000-0000-0000-000000000000}"/>
  <bookViews>
    <workbookView xWindow="-110" yWindow="-110" windowWidth="19420" windowHeight="11500" tabRatio="708" firstSheet="3" activeTab="4" xr2:uid="{00000000-000D-0000-FFFF-FFFF00000000}"/>
  </bookViews>
  <sheets>
    <sheet name="pre_run_deal_append_param" sheetId="62" r:id="rId1"/>
    <sheet name="mid_run_adj_param" sheetId="58" r:id="rId2"/>
    <sheet name="mid_run_adj_param_test" sheetId="67" r:id="rId3"/>
    <sheet name="post_run_stage3_param" sheetId="65" r:id="rId4"/>
    <sheet name="post_run_output_adj_param" sheetId="59" r:id="rId5"/>
    <sheet name="post_run_output_adj_param_test" sheetId="66" r:id="rId6"/>
    <sheet name="scenario_weight_param" sheetId="5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7" l="1"/>
  <c r="A7" i="67"/>
  <c r="A6" i="67"/>
  <c r="A6" i="66"/>
  <c r="A5" i="66"/>
  <c r="A18" i="58" l="1"/>
  <c r="A7" i="58"/>
  <c r="A6" i="65"/>
  <c r="A5" i="65"/>
  <c r="A5" i="62" l="1"/>
  <c r="A10" i="59" l="1"/>
  <c r="A9" i="59"/>
  <c r="A8" i="59"/>
  <c r="A7" i="59"/>
  <c r="A6" i="59"/>
  <c r="A5" i="59"/>
  <c r="A5" i="58"/>
  <c r="A11" i="58"/>
  <c r="A8" i="58" l="1"/>
  <c r="A17" i="58"/>
  <c r="A16" i="58"/>
  <c r="A15" i="58"/>
  <c r="A14" i="58"/>
  <c r="A6" i="58"/>
  <c r="A13" i="58"/>
  <c r="A12" i="58"/>
  <c r="A10" i="58"/>
  <c r="A9" i="58"/>
  <c r="A6" i="57"/>
  <c r="A7" i="57"/>
  <c r="A8" i="57"/>
  <c r="A9" i="57"/>
  <c r="A5" i="5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tc={CBE6296C-0D17-4052-B038-34E25057CBB7}</author>
    <author>tc={67AB5A47-D7E1-4F8A-9C83-173864CBB084}</author>
  </authors>
  <commentList>
    <comment ref="A1" authorId="0" shapeId="0" xr:uid="{CBE6296C-0D17-4052-B038-34E25057CBB7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be aligned with the merged dataset</t>
      </text>
    </comment>
    <comment ref="B5" authorId="1" shapeId="0" xr:uid="{67AB5A47-D7E1-4F8A-9C83-173864CBB084}">
      <text>
        <t>[Threaded comment]
Your version of Excel allows you to read this threaded comment; however, any edits to it will get removed if the file is opened in a newer version of Excel. Learn more: https://go.microsoft.com/fwlink/?linkid=870924
Comment:
    Dummy data for testing purpose.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tc={9776D43A-2ED2-4A69-BE70-8DD4D299DC7D}</author>
    <author>tc={2A25DF62-36AE-423D-A63A-2BCABCCFF57B}</author>
  </authors>
  <commentList>
    <comment ref="C1" authorId="0" shapeId="0" xr:uid="{9776D43A-2ED2-4A69-BE70-8DD4D299DC7D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 of interm outputs will be supplemented</t>
      </text>
    </comment>
    <comment ref="O6" authorId="1" shapeId="0" xr:uid="{2A25DF62-36AE-423D-A63A-2BCABCCFF57B}">
      <text>
        <t>[Threaded comment]
Your version of Excel allows you to read this threaded comment; however, any edits to it will get removed if the file is opened in a newer version of Excel. Learn more: https://go.microsoft.com/fwlink/?linkid=870924
Comment:
    portfolio level, update pd/lgd at portfolio level could be achieved in regular/irregular paramter tables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tc={2023578A-4579-4090-AB5C-A454A98D3632}</author>
    <author>tc={C97E402A-BA70-4180-B724-832DFB8D9C06}</author>
  </authors>
  <commentList>
    <comment ref="C1" authorId="0" shapeId="0" xr:uid="{2023578A-4579-4090-AB5C-A454A98D3632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 of interm outputs will be supplemented</t>
      </text>
    </comment>
    <comment ref="O5" authorId="1" shapeId="0" xr:uid="{C97E402A-BA70-4180-B724-832DFB8D9C06}">
      <text>
        <t>[Threaded comment]
Your version of Excel allows you to read this threaded comment; however, any edits to it will get removed if the file is opened in a newer version of Excel. Learn more: https://go.microsoft.com/fwlink/?linkid=870924
Comment:
    portfolio level, update pd/lgd at portfolio level could be achieved in regular/irregular paramter tables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tc={F044EF29-E7A2-4CFC-A14D-90D9638A1D36}</author>
    <author>tc={F4CBF35D-8DBE-4751-9EE3-2D105A3CF138}</author>
    <author>tc={DDA9F1FA-093F-4E59-9873-55254BDB8AB9}</author>
  </authors>
  <commentList>
    <comment ref="A1" authorId="0" shapeId="0" xr:uid="{F044EF29-E7A2-4CFC-A14D-90D9638A1D36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be aligned with the merged dataset</t>
      </text>
    </comment>
    <comment ref="B5" authorId="1" shapeId="0" xr:uid="{F4CBF35D-8DBE-4751-9EE3-2D105A3CF138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id, exists in the expo_table -&gt; skip.</t>
      </text>
    </comment>
    <comment ref="B6" authorId="2" shapeId="0" xr:uid="{DDA9F1FA-093F-4E59-9873-55254BDB8AB9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id, do not exist in the expo_table -&gt; append.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tc={AF998705-4D1E-4120-8263-DFF769847660}</author>
    <author>tc={A71AD2E7-0AF5-4549-BAED-C95C1D3DFFE4}</author>
    <author>tc={AFF1A160-2583-4050-A92E-4B340D70A00C}</author>
  </authors>
  <commentList>
    <comment ref="C1" authorId="0" shapeId="0" xr:uid="{AF998705-4D1E-4120-8263-DFF769847660}">
      <text>
        <t>[Threaded comment]
Your version of Excel allows you to read this threaded comment; however, any edits to it will get removed if the file is opened in a newer version of Excel. Learn more: https://go.microsoft.com/fwlink/?linkid=870924
Comment:
    EAD%</t>
      </text>
    </comment>
    <comment ref="B9" authorId="1" shapeId="0" xr:uid="{A71AD2E7-0AF5-4549-BAED-C95C1D3DFFE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action need to calculated adjusted ECL first then do assignment btw deals</t>
      </text>
    </comment>
    <comment ref="B10" authorId="2" shapeId="0" xr:uid="{AFF1A160-2583-4050-A92E-4B340D70A00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one no need to do calculation before assigned btw deals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tc={67482D9B-291A-4896-80FC-D6B8F3ADC3D1}</author>
    <author>tc={7F18728E-4D08-40C1-9195-B4879729D11A}</author>
  </authors>
  <commentList>
    <comment ref="C1" authorId="0" shapeId="0" xr:uid="{67482D9B-291A-4896-80FC-D6B8F3ADC3D1}">
      <text>
        <t>[Threaded comment]
Your version of Excel allows you to read this threaded comment; however, any edits to it will get removed if the file is opened in a newer version of Excel. Learn more: https://go.microsoft.com/fwlink/?linkid=870924
Comment:
    EAD%</t>
      </text>
    </comment>
    <comment ref="B6" authorId="1" shapeId="0" xr:uid="{7F18728E-4D08-40C1-9195-B4879729D11A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action need to calculated adjusted ECL first then do assignment btw deals</t>
      </text>
    </comment>
  </commentList>
</comments>
</file>

<file path=xl/sharedStrings.xml><?xml version="1.0" encoding="utf-8"?>
<sst xmlns="http://schemas.openxmlformats.org/spreadsheetml/2006/main" count="618" uniqueCount="172">
  <si>
    <t>Parameter name</t>
  </si>
  <si>
    <t>Mandatory input</t>
  </si>
  <si>
    <t>Y</t>
  </si>
  <si>
    <t>Parameter data type</t>
  </si>
  <si>
    <t>str</t>
  </si>
  <si>
    <t>float</t>
  </si>
  <si>
    <t>CN</t>
  </si>
  <si>
    <t>NCN</t>
  </si>
  <si>
    <t>deal_id</t>
  </si>
  <si>
    <t>scenario</t>
  </si>
  <si>
    <t>scenario_weight</t>
  </si>
  <si>
    <t>Parameter description</t>
  </si>
  <si>
    <t>Column data definition for reference</t>
  </si>
  <si>
    <t>remark</t>
  </si>
  <si>
    <t>N</t>
  </si>
  <si>
    <t>medium</t>
  </si>
  <si>
    <t>mild</t>
  </si>
  <si>
    <t>benign</t>
  </si>
  <si>
    <t>base</t>
  </si>
  <si>
    <t>severe</t>
  </si>
  <si>
    <t>action</t>
  </si>
  <si>
    <t>INTRNL_RATING</t>
  </si>
  <si>
    <t>G15</t>
  </si>
  <si>
    <t>AMRT_TYPE_CD</t>
  </si>
  <si>
    <t>CUR_BAL</t>
  </si>
  <si>
    <t>Segment</t>
  </si>
  <si>
    <t>Sub_segment</t>
  </si>
  <si>
    <t>Corp</t>
  </si>
  <si>
    <t>Stage</t>
  </si>
  <si>
    <t>Customer_NR</t>
  </si>
  <si>
    <t>DEAL_ID</t>
  </si>
  <si>
    <t>G05</t>
  </si>
  <si>
    <t>Product</t>
  </si>
  <si>
    <t>Delete</t>
  </si>
  <si>
    <t>Override</t>
  </si>
  <si>
    <t>Overlay</t>
  </si>
  <si>
    <t>bu</t>
  </si>
  <si>
    <t>date</t>
  </si>
  <si>
    <t>int</t>
  </si>
  <si>
    <t>exposure_table_preprocessed</t>
  </si>
  <si>
    <t>adj_column</t>
  </si>
  <si>
    <t>adj_value</t>
  </si>
  <si>
    <t>adj_approach</t>
  </si>
  <si>
    <t>customer_level</t>
  </si>
  <si>
    <t>ecl_final</t>
  </si>
  <si>
    <t>WBG</t>
  </si>
  <si>
    <t>PBG</t>
  </si>
  <si>
    <t>remarks</t>
  </si>
  <si>
    <t>ecl_details(EAD+LGD)</t>
  </si>
  <si>
    <t>ALS:18100695000000000016403205</t>
  </si>
  <si>
    <t>ALS:18100695000000000099999999</t>
  </si>
  <si>
    <t>REGION_BRCH</t>
  </si>
  <si>
    <t>PRODUCT_TYPE_BRCH</t>
  </si>
  <si>
    <t>ACCOUNT_OFFICER</t>
  </si>
  <si>
    <t>ACCT_ID</t>
  </si>
  <si>
    <t>AS_OF_DT</t>
  </si>
  <si>
    <t>BLK_CD</t>
  </si>
  <si>
    <t>BU</t>
  </si>
  <si>
    <t>COUNTRY_OF_RISK</t>
  </si>
  <si>
    <t>CUR_RT</t>
  </si>
  <si>
    <t>CURRENCY</t>
  </si>
  <si>
    <t>CUST_BK_GROUP</t>
  </si>
  <si>
    <t>CUSTOMER_NR</t>
  </si>
  <si>
    <t>CUSTOMER_SHORTNAME</t>
  </si>
  <si>
    <t>CUSTOMER_TYPE</t>
  </si>
  <si>
    <t>DAYS_PASTDUE</t>
  </si>
  <si>
    <t>DEAL_DT</t>
  </si>
  <si>
    <t>DEAL_SUBTYPE</t>
  </si>
  <si>
    <t>DEAL_TYPE</t>
  </si>
  <si>
    <t>EAD_SEG</t>
  </si>
  <si>
    <t>EFFECTIVE_YIELD</t>
  </si>
  <si>
    <t>ENTITY</t>
  </si>
  <si>
    <t>FACILITY_NR</t>
  </si>
  <si>
    <t>FITCH_RATING</t>
  </si>
  <si>
    <t>INDUSTRY_CODE</t>
  </si>
  <si>
    <t>INT_ACCR</t>
  </si>
  <si>
    <t>INT_SUSP_AMT</t>
  </si>
  <si>
    <t>INTRNL_RATING_MODEL</t>
  </si>
  <si>
    <t>LGD_RISK_REGION</t>
  </si>
  <si>
    <t>LGD_RISK_SEG</t>
  </si>
  <si>
    <t>LOAN_CLASS_CD</t>
  </si>
  <si>
    <t>LOCATION</t>
  </si>
  <si>
    <t>MASTER_SCALE_RATING</t>
  </si>
  <si>
    <t>MATURITY_DATE</t>
  </si>
  <si>
    <t>MOODY_RATING</t>
  </si>
  <si>
    <t>MULTIPLY_DIVIDE_IND</t>
  </si>
  <si>
    <t>NXT_PMT_DT</t>
  </si>
  <si>
    <t>ON_OFF_IND</t>
  </si>
  <si>
    <t>ORIG_MASTER_SCALE_RATING</t>
  </si>
  <si>
    <t>PASTDUE_INT</t>
  </si>
  <si>
    <t>PASTDUE_PRIN</t>
  </si>
  <si>
    <t>PD_SEG</t>
  </si>
  <si>
    <t>PIT_PD_SEG</t>
  </si>
  <si>
    <t>PMT_AMT</t>
  </si>
  <si>
    <t>PMT_FREQ</t>
  </si>
  <si>
    <t>PMT_FREQ_MULTIPLIER</t>
  </si>
  <si>
    <t>PRIN_AMT</t>
  </si>
  <si>
    <t>PROFIT_CENTRE</t>
  </si>
  <si>
    <t>RATE</t>
  </si>
  <si>
    <t>SNP_RATING</t>
  </si>
  <si>
    <t>SOURCE_SYSTEM</t>
  </si>
  <si>
    <t>STG_ASMT_SEG</t>
  </si>
  <si>
    <t>TTC_PD</t>
  </si>
  <si>
    <t>TU_RATING</t>
  </si>
  <si>
    <t>TU_SCORE</t>
  </si>
  <si>
    <t>Remark</t>
  </si>
  <si>
    <t>PBG-Non-BB</t>
  </si>
  <si>
    <t>HKD</t>
  </si>
  <si>
    <t>Hong Kong</t>
  </si>
  <si>
    <t>PBG|Non BB|Unsecured Products</t>
  </si>
  <si>
    <t>M</t>
  </si>
  <si>
    <t>Retail Model|Unsecured Lending</t>
  </si>
  <si>
    <t>=</t>
  </si>
  <si>
    <t>*</t>
  </si>
  <si>
    <t>+</t>
  </si>
  <si>
    <t>product</t>
  </si>
  <si>
    <t>customer_nr</t>
  </si>
  <si>
    <t>exposure_table_staged</t>
  </si>
  <si>
    <t>segment</t>
  </si>
  <si>
    <t>sub_segment</t>
  </si>
  <si>
    <t>condition_column_1</t>
  </si>
  <si>
    <t>condition_value_1</t>
  </si>
  <si>
    <t>condition_value_2</t>
  </si>
  <si>
    <t>condition_column_2</t>
  </si>
  <si>
    <t>entity</t>
  </si>
  <si>
    <t>condition_column_3</t>
  </si>
  <si>
    <t>condition_value_3</t>
  </si>
  <si>
    <t>risk_country</t>
  </si>
  <si>
    <t>U</t>
  </si>
  <si>
    <t>adj_dtype</t>
  </si>
  <si>
    <t>in:Corporate</t>
  </si>
  <si>
    <t>in:NCN,CN;notin:''</t>
  </si>
  <si>
    <t>in:ALS:18100709000000000015977518</t>
  </si>
  <si>
    <t>in:Placement</t>
  </si>
  <si>
    <t>in:ALS:18100704000000000016282823</t>
  </si>
  <si>
    <t>in:018:RM:1800000000000000000001227589</t>
  </si>
  <si>
    <t>in:Loans</t>
  </si>
  <si>
    <t>in:NCN</t>
  </si>
  <si>
    <t>in:CBI</t>
  </si>
  <si>
    <t>in:CN,NaN</t>
  </si>
  <si>
    <t>notin:CN,NaN</t>
  </si>
  <si>
    <t>final_stage</t>
  </si>
  <si>
    <t>in:CN</t>
  </si>
  <si>
    <t>interim_output</t>
  </si>
  <si>
    <t>COA_PROD_GRP</t>
  </si>
  <si>
    <t>FROM_CURRENCY</t>
  </si>
  <si>
    <t>LCY_TO_HKD</t>
  </si>
  <si>
    <t>INTERCOMPANY</t>
  </si>
  <si>
    <t>TO_CURRENCY</t>
  </si>
  <si>
    <t>hk</t>
  </si>
  <si>
    <t>CC_INSTL</t>
  </si>
  <si>
    <t>CARDLINK:180118000000008882884330003040</t>
  </si>
  <si>
    <t>31DEC2024:00:00:00</t>
  </si>
  <si>
    <t>CARD:T</t>
  </si>
  <si>
    <t>LOA-Card</t>
  </si>
  <si>
    <t>CNY</t>
  </si>
  <si>
    <t>018:RM:1800000000000000000000615633</t>
  </si>
  <si>
    <t>P</t>
  </si>
  <si>
    <t>30NOV2024:00:00:00</t>
  </si>
  <si>
    <t>018:CARDLINK:434</t>
  </si>
  <si>
    <t>G06</t>
  </si>
  <si>
    <t>PA</t>
  </si>
  <si>
    <t>31DEC2029:00:00:00</t>
  </si>
  <si>
    <t>CARDLINK</t>
  </si>
  <si>
    <t>CARDLINK:180118000000008882884330999999</t>
  </si>
  <si>
    <t>CARDLINK:180118000000008882884330999999:FAC</t>
  </si>
  <si>
    <t>applied_LGD_base</t>
  </si>
  <si>
    <t>TFI_ID</t>
  </si>
  <si>
    <t>in:CARDLINK:180118000000008882884330170062</t>
  </si>
  <si>
    <t>in:CARDLINK:180118000000008882884330305064</t>
  </si>
  <si>
    <t>in:018:RM:1800000000000000000001452661</t>
  </si>
  <si>
    <t>ecl_hke_m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</si>
</sst>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24E31"/>
        <bgColor rgb="FF000000"/>
      </patternFill>
    </fill>
    <fill>
      <patternFill patternType="solid">
        <fgColor rgb="FFCDAC65"/>
        <bgColor rgb="FF000000"/>
      </patternFill>
    </fill>
    <fill>
      <patternFill patternType="solid">
        <fgColor rgb="FF024E31"/>
        <bgColor indexed="64"/>
      </patternFill>
    </fill>
    <fill>
      <patternFill patternType="solid">
        <fgColor rgb="FFCDAC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9" fontId="0" fillId="0" borderId="1" xfId="3" applyFont="1" applyBorder="1"/>
    <xf numFmtId="0" fontId="5" fillId="4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horizontal="left"/>
    </xf>
    <xf numFmtId="0" fontId="7" fillId="0" borderId="1" xfId="0" applyFont="1" applyBorder="1"/>
    <xf numFmtId="0" fontId="0" fillId="0" borderId="2" xfId="0" applyBorder="1"/>
    <xf numFmtId="0" fontId="6" fillId="0" borderId="1" xfId="0" applyFont="1" applyBorder="1" applyAlignment="1">
      <alignment horizontal="left"/>
    </xf>
    <xf numFmtId="0" fontId="0" fillId="0" borderId="1" xfId="0" quotePrefix="1" applyBorder="1"/>
    <xf numFmtId="0" fontId="6" fillId="0" borderId="2" xfId="0" applyFont="1" applyBorder="1"/>
    <xf numFmtId="0" fontId="7" fillId="6" borderId="1" xfId="0" applyFont="1" applyFill="1" applyBorder="1"/>
    <xf numFmtId="0" fontId="0" fillId="6" borderId="1" xfId="0" applyFill="1" applyBorder="1"/>
    <xf numFmtId="0" fontId="0" fillId="6" borderId="1" xfId="0" quotePrefix="1" applyFill="1" applyBorder="1"/>
    <xf numFmtId="0" fontId="7" fillId="7" borderId="1" xfId="0" applyFont="1" applyFill="1" applyBorder="1"/>
    <xf numFmtId="0" fontId="0" fillId="7" borderId="1" xfId="0" quotePrefix="1" applyFill="1" applyBorder="1"/>
    <xf numFmtId="0" fontId="0" fillId="7" borderId="1" xfId="0" applyFill="1" applyBorder="1"/>
    <xf numFmtId="0" fontId="0" fillId="8" borderId="1" xfId="0" quotePrefix="1" applyFill="1" applyBorder="1"/>
    <xf numFmtId="0" fontId="0" fillId="8" borderId="1" xfId="0" applyFill="1" applyBorder="1"/>
    <xf numFmtId="0" fontId="0" fillId="9" borderId="1" xfId="0" quotePrefix="1" applyFill="1" applyBorder="1"/>
    <xf numFmtId="0" fontId="0" fillId="9" borderId="1" xfId="0" applyFill="1" applyBorder="1"/>
    <xf numFmtId="0" fontId="10" fillId="0" borderId="1" xfId="0" applyFont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0" xfId="0" applyFill="1"/>
    <xf numFmtId="0" fontId="8" fillId="0" borderId="0" xfId="0" applyFont="1"/>
    <xf numFmtId="0" fontId="6" fillId="0" borderId="1" xfId="0" applyFont="1" applyBorder="1"/>
  </cellXfs>
  <cellStyles count="4">
    <cellStyle name="Normal" xfId="0" builtinId="0"/>
    <cellStyle name="Normal 15" xfId="2" xr:uid="{3A1CACCE-045C-42EB-9E3F-B7B5306681E5}"/>
    <cellStyle name="Percent" xfId="3" builtinId="5"/>
    <cellStyle name="千位分隔 2" xfId="1" xr:uid="{34B2847A-F2D0-4865-8E9F-DC6B29BD07B7}"/>
  </cellStyles>
  <dxfs count="0"/>
  <tableStyles count="0" defaultTableStyle="TableStyleMedium2" defaultPivotStyle="PivotStyleMedium9"/>
  <colors>
    <mruColors>
      <color rgb="FFFFE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trina Wu" id="{8E78ACDD-7717-475E-B4AF-E48F68081549}" userId="S::Katrina.Wu1@hk.ey.com::61c79667-90ee-4085-b660-a82142881aed" providerId="AD"/>
  <person displayName="Sophia SC Zhang" id="{3D7B1845-7FBB-48B8-955D-A666D4F396E7}" userId="S::Sophia.SC.Zhang@hk.ey.com::62660273-7373-408a-9274-145656e4584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6-26T10:59:14.53" personId="{8E78ACDD-7717-475E-B4AF-E48F68081549}" id="{CBE6296C-0D17-4052-B038-34E25057CBB7}">
    <text>Will be aligned with the merged dataset</text>
  </threadedComment>
  <threadedComment ref="B5" dT="2025-07-03T02:14:18.52" personId="{3D7B1845-7FBB-48B8-955D-A666D4F396E7}" id="{67AB5A47-D7E1-4F8A-9C83-173864CBB084}">
    <text>Dummy data for testing purpose.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5-06-27T06:45:37.97" personId="{8E78ACDD-7717-475E-B4AF-E48F68081549}" id="{9776D43A-2ED2-4A69-BE70-8DD4D299DC7D}">
    <text>List of interm outputs will be supplemented</text>
  </threadedComment>
  <threadedComment ref="O6" dT="2025-07-03T03:53:15.03" personId="{3D7B1845-7FBB-48B8-955D-A666D4F396E7}" id="{2A25DF62-36AE-423D-A63A-2BCABCCFF57B}">
    <text>portfolio level, update pd/lgd at portfolio level could be achieved in regular/irregular paramter tables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dT="2025-06-27T06:45:37.97" personId="{8E78ACDD-7717-475E-B4AF-E48F68081549}" id="{2023578A-4579-4090-AB5C-A454A98D3632}">
    <text>List of interm outputs will be supplemented</text>
  </threadedComment>
  <threadedComment ref="O5" dT="2025-07-03T03:53:15.03" personId="{3D7B1845-7FBB-48B8-955D-A666D4F396E7}" id="{C97E402A-BA70-4180-B724-832DFB8D9C06}">
    <text>portfolio level, update pd/lgd at portfolio level could be achieved in regular/irregular paramter tables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5-06-26T10:59:14.53" personId="{8E78ACDD-7717-475E-B4AF-E48F68081549}" id="{F044EF29-E7A2-4CFC-A14D-90D9638A1D36}">
    <text>Will be aligned with the merged dataset</text>
  </threadedComment>
  <threadedComment ref="B5" dT="2025-07-02T09:44:54.79" personId="{3D7B1845-7FBB-48B8-955D-A666D4F396E7}" id="{F4CBF35D-8DBE-4751-9EE3-2D105A3CF138}">
    <text>Test id, exists in the expo_table -&gt; skip.</text>
  </threadedComment>
  <threadedComment ref="B6" dT="2025-07-02T09:45:34.28" personId="{3D7B1845-7FBB-48B8-955D-A666D4F396E7}" id="{DDA9F1FA-093F-4E59-9873-55254BDB8AB9}">
    <text>Test id, do not exist in the expo_table -&gt; append.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1" dT="2025-06-27T09:28:01.56" personId="{8E78ACDD-7717-475E-B4AF-E48F68081549}" id="{AF998705-4D1E-4120-8263-DFF769847660}">
    <text>EAD%</text>
  </threadedComment>
  <threadedComment ref="B9" dT="2025-06-27T14:54:32.05" personId="{8E78ACDD-7717-475E-B4AF-E48F68081549}" id="{A71AD2E7-0AF5-4549-BAED-C95C1D3DFFE4}">
    <text>This action need to calculated adjusted ECL first then do assignment btw deals</text>
  </threadedComment>
  <threadedComment ref="B10" dT="2025-06-27T14:54:49.07" personId="{8E78ACDD-7717-475E-B4AF-E48F68081549}" id="{AFF1A160-2583-4050-A92E-4B340D70A00C}">
    <text>This one no need to do calculation before assigned btw deals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1" dT="2025-06-27T09:28:01.56" personId="{8E78ACDD-7717-475E-B4AF-E48F68081549}" id="{67482D9B-291A-4896-80FC-D6B8F3ADC3D1}">
    <text>EAD%</text>
  </threadedComment>
  <threadedComment ref="B6" dT="2025-06-27T14:54:32.05" personId="{8E78ACDD-7717-475E-B4AF-E48F68081549}" id="{7F18728E-4D08-40C1-9195-B4879729D11A}">
    <text>This action need to calculated adjusted ECL first then do assignment btw deals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02F4-AE78-4231-859F-2E341D4BCBA4}">
  <dimension ref="A1:BN5"/>
  <sheetViews>
    <sheetView topLeftCell="L4" workbookViewId="0">
      <selection activeCell="V34" sqref="V34"/>
    </sheetView>
  </sheetViews>
  <sheetFormatPr defaultRowHeight="14.5" x14ac:dyDescent="0.35"/>
  <cols>
    <col min="1" max="1" width="19.7265625" bestFit="1" customWidth="1"/>
    <col min="2" max="2" width="13.08984375" bestFit="1" customWidth="1"/>
    <col min="3" max="3" width="19.6328125" bestFit="1" customWidth="1"/>
    <col min="4" max="4" width="17.453125" bestFit="1" customWidth="1"/>
    <col min="5" max="5" width="20" bestFit="1" customWidth="1"/>
    <col min="6" max="6" width="13.6328125" bestFit="1" customWidth="1"/>
    <col min="7" max="7" width="9.08984375" bestFit="1" customWidth="1"/>
    <col min="8" max="8" width="7.36328125" bestFit="1" customWidth="1"/>
    <col min="9" max="9" width="11.1796875" bestFit="1" customWidth="1"/>
    <col min="10" max="10" width="12.54296875" bestFit="1" customWidth="1"/>
    <col min="11" max="11" width="13.36328125" bestFit="1" customWidth="1"/>
    <col min="12" max="12" width="16.7265625" bestFit="1" customWidth="1"/>
    <col min="13" max="13" width="12" bestFit="1" customWidth="1"/>
    <col min="14" max="14" width="8" bestFit="1" customWidth="1"/>
    <col min="15" max="15" width="10.1796875" bestFit="1" customWidth="1"/>
    <col min="16" max="16" width="15.36328125" bestFit="1" customWidth="1"/>
    <col min="17" max="17" width="36.36328125" bestFit="1" customWidth="1"/>
    <col min="18" max="18" width="21.90625" bestFit="1" customWidth="1"/>
    <col min="19" max="19" width="15.08984375" bestFit="1" customWidth="1"/>
    <col min="20" max="20" width="17.90625" bestFit="1" customWidth="1"/>
    <col min="21" max="21" width="13.90625" bestFit="1" customWidth="1"/>
    <col min="22" max="22" width="9" bestFit="1" customWidth="1"/>
    <col min="23" max="23" width="20" bestFit="1" customWidth="1"/>
    <col min="24" max="24" width="21.90625" bestFit="1" customWidth="1"/>
    <col min="25" max="25" width="10" bestFit="1" customWidth="1"/>
    <col min="26" max="26" width="15.54296875" bestFit="1" customWidth="1"/>
    <col min="27" max="27" width="10.36328125" bestFit="1" customWidth="1"/>
    <col min="28" max="28" width="15.08984375" bestFit="1" customWidth="1"/>
    <col min="29" max="29" width="6.36328125" bestFit="1" customWidth="1"/>
    <col min="30" max="30" width="14.90625" bestFit="1" customWidth="1"/>
    <col min="31" max="31" width="12.7265625" bestFit="1" customWidth="1"/>
    <col min="32" max="32" width="15" bestFit="1" customWidth="1"/>
    <col min="33" max="33" width="9.08984375" bestFit="1" customWidth="1"/>
    <col min="34" max="34" width="13.26953125" bestFit="1" customWidth="1"/>
    <col min="35" max="35" width="14" bestFit="1" customWidth="1"/>
    <col min="36" max="36" width="20.90625" bestFit="1" customWidth="1"/>
    <col min="37" max="37" width="16.453125" bestFit="1" customWidth="1"/>
    <col min="38" max="38" width="28.90625" bestFit="1" customWidth="1"/>
    <col min="39" max="39" width="15.26953125" bestFit="1" customWidth="1"/>
    <col min="40" max="40" width="9.6328125" bestFit="1" customWidth="1"/>
    <col min="41" max="41" width="20.90625" bestFit="1" customWidth="1"/>
    <col min="42" max="42" width="14.1796875" bestFit="1" customWidth="1"/>
    <col min="43" max="43" width="14.36328125" bestFit="1" customWidth="1"/>
    <col min="44" max="44" width="19.36328125" bestFit="1" customWidth="1"/>
    <col min="45" max="45" width="11.26953125" bestFit="1" customWidth="1"/>
    <col min="46" max="46" width="11.453125" bestFit="1" customWidth="1"/>
    <col min="47" max="47" width="26.08984375" bestFit="1" customWidth="1"/>
    <col min="48" max="48" width="12" bestFit="1" customWidth="1"/>
    <col min="49" max="49" width="13.453125" bestFit="1" customWidth="1"/>
    <col min="50" max="51" width="27.7265625" bestFit="1" customWidth="1"/>
    <col min="52" max="52" width="8.54296875" bestFit="1" customWidth="1"/>
    <col min="53" max="53" width="9.54296875" bestFit="1" customWidth="1"/>
    <col min="54" max="54" width="20.08984375" bestFit="1" customWidth="1"/>
    <col min="55" max="55" width="12" bestFit="1" customWidth="1"/>
    <col min="56" max="56" width="14.1796875" bestFit="1" customWidth="1"/>
    <col min="57" max="57" width="4.90625" bestFit="1" customWidth="1"/>
    <col min="58" max="58" width="11.36328125" bestFit="1" customWidth="1"/>
    <col min="59" max="59" width="15.36328125" bestFit="1" customWidth="1"/>
    <col min="60" max="60" width="27.7265625" bestFit="1" customWidth="1"/>
    <col min="61" max="61" width="8.7265625" customWidth="1"/>
    <col min="62" max="62" width="5.7265625" bestFit="1" customWidth="1"/>
    <col min="63" max="63" width="7.08984375" bestFit="1" customWidth="1"/>
    <col min="64" max="64" width="10" bestFit="1" customWidth="1"/>
    <col min="65" max="65" width="9.6328125" bestFit="1" customWidth="1"/>
    <col min="66" max="66" width="7.08984375" bestFit="1" customWidth="1"/>
  </cols>
  <sheetData>
    <row r="1" spans="1:66" x14ac:dyDescent="0.35">
      <c r="A1" s="6" t="s">
        <v>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23</v>
      </c>
      <c r="G1" s="4" t="s">
        <v>55</v>
      </c>
      <c r="H1" s="4" t="s">
        <v>56</v>
      </c>
      <c r="I1" s="4" t="s">
        <v>57</v>
      </c>
      <c r="J1" s="4" t="s">
        <v>144</v>
      </c>
      <c r="K1" s="4" t="s">
        <v>58</v>
      </c>
      <c r="L1" s="4" t="s">
        <v>24</v>
      </c>
      <c r="M1" s="4" t="s">
        <v>59</v>
      </c>
      <c r="N1" s="4" t="s">
        <v>60</v>
      </c>
      <c r="O1" s="4" t="s">
        <v>61</v>
      </c>
      <c r="P1" s="4" t="s">
        <v>62</v>
      </c>
      <c r="Q1" s="4" t="s">
        <v>63</v>
      </c>
      <c r="R1" s="4" t="s">
        <v>64</v>
      </c>
      <c r="S1" s="4" t="s">
        <v>65</v>
      </c>
      <c r="T1" s="4" t="s">
        <v>66</v>
      </c>
      <c r="U1" s="4" t="s">
        <v>30</v>
      </c>
      <c r="V1" s="4" t="s">
        <v>67</v>
      </c>
      <c r="W1" s="4" t="s">
        <v>68</v>
      </c>
      <c r="X1" s="4" t="s">
        <v>69</v>
      </c>
      <c r="Y1" s="4" t="s">
        <v>70</v>
      </c>
      <c r="Z1" s="4" t="s">
        <v>71</v>
      </c>
      <c r="AA1" s="4" t="s">
        <v>72</v>
      </c>
      <c r="AB1" s="4" t="s">
        <v>73</v>
      </c>
      <c r="AC1" s="4" t="s">
        <v>145</v>
      </c>
      <c r="AD1" s="4" t="s">
        <v>146</v>
      </c>
      <c r="AE1" s="4" t="s">
        <v>74</v>
      </c>
      <c r="AF1" s="4" t="s">
        <v>75</v>
      </c>
      <c r="AG1" s="4" t="s">
        <v>76</v>
      </c>
      <c r="AH1" s="4" t="s">
        <v>147</v>
      </c>
      <c r="AI1" s="4" t="s">
        <v>21</v>
      </c>
      <c r="AJ1" s="4" t="s">
        <v>77</v>
      </c>
      <c r="AK1" s="4" t="s">
        <v>78</v>
      </c>
      <c r="AL1" s="4" t="s">
        <v>79</v>
      </c>
      <c r="AM1" s="4" t="s">
        <v>80</v>
      </c>
      <c r="AN1" s="4" t="s">
        <v>81</v>
      </c>
      <c r="AO1" s="4" t="s">
        <v>82</v>
      </c>
      <c r="AP1" s="4" t="s">
        <v>83</v>
      </c>
      <c r="AQ1" s="4" t="s">
        <v>84</v>
      </c>
      <c r="AR1" s="4" t="s">
        <v>85</v>
      </c>
      <c r="AS1" s="4" t="s">
        <v>86</v>
      </c>
      <c r="AT1" s="4" t="s">
        <v>87</v>
      </c>
      <c r="AU1" s="4" t="s">
        <v>88</v>
      </c>
      <c r="AV1" s="4" t="s">
        <v>89</v>
      </c>
      <c r="AW1" s="4" t="s">
        <v>90</v>
      </c>
      <c r="AX1" s="4" t="s">
        <v>91</v>
      </c>
      <c r="AY1" s="4" t="s">
        <v>92</v>
      </c>
      <c r="AZ1" s="4" t="s">
        <v>93</v>
      </c>
      <c r="BA1" s="4" t="s">
        <v>94</v>
      </c>
      <c r="BB1" s="4" t="s">
        <v>95</v>
      </c>
      <c r="BC1" s="4" t="s">
        <v>96</v>
      </c>
      <c r="BD1" s="4" t="s">
        <v>97</v>
      </c>
      <c r="BE1" s="4" t="s">
        <v>98</v>
      </c>
      <c r="BF1" s="4" t="s">
        <v>99</v>
      </c>
      <c r="BG1" s="4" t="s">
        <v>100</v>
      </c>
      <c r="BH1" s="4" t="s">
        <v>101</v>
      </c>
      <c r="BI1" s="4" t="s">
        <v>167</v>
      </c>
      <c r="BJ1" s="4" t="s">
        <v>148</v>
      </c>
      <c r="BK1" s="4" t="s">
        <v>102</v>
      </c>
      <c r="BL1" s="4" t="s">
        <v>103</v>
      </c>
      <c r="BM1" s="4" t="s">
        <v>104</v>
      </c>
      <c r="BN1" s="4" t="s">
        <v>105</v>
      </c>
    </row>
    <row r="2" spans="1:66" x14ac:dyDescent="0.35">
      <c r="A2" s="6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 spans="1:66" x14ac:dyDescent="0.35">
      <c r="A3" s="3" t="s">
        <v>1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2</v>
      </c>
      <c r="M3" s="4" t="s">
        <v>2</v>
      </c>
      <c r="N3" s="4" t="s">
        <v>2</v>
      </c>
      <c r="O3" s="4" t="s">
        <v>2</v>
      </c>
      <c r="P3" s="4" t="s">
        <v>2</v>
      </c>
      <c r="Q3" s="4" t="s">
        <v>2</v>
      </c>
      <c r="R3" s="4" t="s">
        <v>14</v>
      </c>
      <c r="S3" s="4" t="s">
        <v>2</v>
      </c>
      <c r="T3" s="4" t="s">
        <v>2</v>
      </c>
      <c r="U3" s="4" t="s">
        <v>2</v>
      </c>
      <c r="V3" s="4" t="s">
        <v>2</v>
      </c>
      <c r="W3" s="4" t="s">
        <v>2</v>
      </c>
      <c r="X3" s="4" t="s">
        <v>2</v>
      </c>
      <c r="Y3" s="4" t="s">
        <v>2</v>
      </c>
      <c r="Z3" s="4" t="s">
        <v>2</v>
      </c>
      <c r="AA3" s="4" t="s">
        <v>2</v>
      </c>
      <c r="AB3" s="4" t="s">
        <v>2</v>
      </c>
      <c r="AC3" s="4" t="s">
        <v>2</v>
      </c>
      <c r="AD3" s="4" t="s">
        <v>2</v>
      </c>
      <c r="AE3" s="4" t="s">
        <v>2</v>
      </c>
      <c r="AF3" s="4" t="s">
        <v>2</v>
      </c>
      <c r="AG3" s="4" t="s">
        <v>2</v>
      </c>
      <c r="AH3" s="4" t="s">
        <v>2</v>
      </c>
      <c r="AI3" s="4" t="s">
        <v>2</v>
      </c>
      <c r="AJ3" s="4" t="s">
        <v>2</v>
      </c>
      <c r="AK3" s="4" t="s">
        <v>2</v>
      </c>
      <c r="AL3" s="4" t="s">
        <v>2</v>
      </c>
      <c r="AM3" s="4" t="s">
        <v>2</v>
      </c>
      <c r="AN3" s="4" t="s">
        <v>2</v>
      </c>
      <c r="AO3" s="4" t="s">
        <v>2</v>
      </c>
      <c r="AP3" s="4" t="s">
        <v>2</v>
      </c>
      <c r="AQ3" s="4" t="s">
        <v>2</v>
      </c>
      <c r="AR3" s="4" t="s">
        <v>2</v>
      </c>
      <c r="AS3" s="4" t="s">
        <v>2</v>
      </c>
      <c r="AT3" s="4" t="s">
        <v>2</v>
      </c>
      <c r="AU3" s="4" t="s">
        <v>2</v>
      </c>
      <c r="AV3" s="4" t="s">
        <v>2</v>
      </c>
      <c r="AW3" s="4" t="s">
        <v>2</v>
      </c>
      <c r="AX3" s="4" t="s">
        <v>2</v>
      </c>
      <c r="AY3" s="4" t="s">
        <v>2</v>
      </c>
      <c r="AZ3" s="4" t="s">
        <v>2</v>
      </c>
      <c r="BA3" s="4" t="s">
        <v>2</v>
      </c>
      <c r="BB3" s="4" t="s">
        <v>2</v>
      </c>
      <c r="BC3" s="4" t="s">
        <v>2</v>
      </c>
      <c r="BD3" s="4" t="s">
        <v>2</v>
      </c>
      <c r="BE3" s="4" t="s">
        <v>2</v>
      </c>
      <c r="BF3" s="4" t="s">
        <v>2</v>
      </c>
      <c r="BG3" s="4" t="s">
        <v>2</v>
      </c>
      <c r="BH3" s="4" t="s">
        <v>2</v>
      </c>
      <c r="BI3" s="4" t="s">
        <v>2</v>
      </c>
      <c r="BJ3" s="4" t="s">
        <v>2</v>
      </c>
      <c r="BK3" s="4" t="s">
        <v>2</v>
      </c>
      <c r="BL3" s="4" t="s">
        <v>2</v>
      </c>
      <c r="BM3" s="4" t="s">
        <v>2</v>
      </c>
      <c r="BN3" s="4" t="s">
        <v>14</v>
      </c>
    </row>
    <row r="4" spans="1:66" x14ac:dyDescent="0.35">
      <c r="A4" s="3" t="s">
        <v>3</v>
      </c>
      <c r="B4" s="4" t="s">
        <v>4</v>
      </c>
      <c r="C4" s="4" t="s">
        <v>4</v>
      </c>
      <c r="D4" s="4" t="s">
        <v>4</v>
      </c>
      <c r="E4" s="4" t="s">
        <v>4</v>
      </c>
      <c r="F4" s="4" t="s">
        <v>4</v>
      </c>
      <c r="G4" s="4" t="s">
        <v>37</v>
      </c>
      <c r="H4" s="4" t="s">
        <v>4</v>
      </c>
      <c r="I4" s="4" t="s">
        <v>4</v>
      </c>
      <c r="J4" s="4" t="s">
        <v>4</v>
      </c>
      <c r="K4" s="4" t="s">
        <v>4</v>
      </c>
      <c r="L4" s="4" t="s">
        <v>5</v>
      </c>
      <c r="M4" s="4" t="s">
        <v>5</v>
      </c>
      <c r="N4" s="4" t="s">
        <v>4</v>
      </c>
      <c r="O4" s="4" t="s">
        <v>4</v>
      </c>
      <c r="P4" s="4" t="s">
        <v>4</v>
      </c>
      <c r="Q4" s="4" t="s">
        <v>4</v>
      </c>
      <c r="R4" s="4" t="s">
        <v>4</v>
      </c>
      <c r="S4" s="4" t="s">
        <v>38</v>
      </c>
      <c r="T4" s="4" t="s">
        <v>37</v>
      </c>
      <c r="U4" s="4" t="s">
        <v>4</v>
      </c>
      <c r="V4" s="4" t="s">
        <v>4</v>
      </c>
      <c r="W4" s="4" t="s">
        <v>4</v>
      </c>
      <c r="X4" s="4" t="s">
        <v>4</v>
      </c>
      <c r="Y4" s="4" t="s">
        <v>5</v>
      </c>
      <c r="Z4" s="4" t="s">
        <v>4</v>
      </c>
      <c r="AA4" s="4" t="s">
        <v>4</v>
      </c>
      <c r="AB4" s="4" t="s">
        <v>4</v>
      </c>
      <c r="AC4" s="4" t="s">
        <v>4</v>
      </c>
      <c r="AD4" s="4" t="s">
        <v>5</v>
      </c>
      <c r="AE4" s="4" t="s">
        <v>4</v>
      </c>
      <c r="AF4" s="4" t="s">
        <v>5</v>
      </c>
      <c r="AG4" s="4" t="s">
        <v>5</v>
      </c>
      <c r="AH4" s="4" t="s">
        <v>4</v>
      </c>
      <c r="AI4" s="4" t="s">
        <v>4</v>
      </c>
      <c r="AJ4" s="4" t="s">
        <v>4</v>
      </c>
      <c r="AK4" s="4" t="s">
        <v>4</v>
      </c>
      <c r="AL4" s="4" t="s">
        <v>4</v>
      </c>
      <c r="AM4" s="4" t="s">
        <v>4</v>
      </c>
      <c r="AN4" s="4" t="s">
        <v>4</v>
      </c>
      <c r="AO4" s="4" t="s">
        <v>38</v>
      </c>
      <c r="AP4" s="4" t="s">
        <v>37</v>
      </c>
      <c r="AQ4" s="4" t="s">
        <v>4</v>
      </c>
      <c r="AR4" s="4" t="s">
        <v>4</v>
      </c>
      <c r="AS4" s="4" t="s">
        <v>37</v>
      </c>
      <c r="AT4" s="4" t="s">
        <v>4</v>
      </c>
      <c r="AU4" s="4" t="s">
        <v>38</v>
      </c>
      <c r="AV4" s="4" t="s">
        <v>5</v>
      </c>
      <c r="AW4" s="4" t="s">
        <v>5</v>
      </c>
      <c r="AX4" s="4" t="s">
        <v>4</v>
      </c>
      <c r="AY4" s="4" t="s">
        <v>4</v>
      </c>
      <c r="AZ4" s="4" t="s">
        <v>5</v>
      </c>
      <c r="BA4" s="4" t="s">
        <v>38</v>
      </c>
      <c r="BB4" s="4" t="s">
        <v>4</v>
      </c>
      <c r="BC4" s="4" t="s">
        <v>5</v>
      </c>
      <c r="BD4" s="4" t="s">
        <v>4</v>
      </c>
      <c r="BE4" s="4" t="s">
        <v>5</v>
      </c>
      <c r="BF4" s="4" t="s">
        <v>4</v>
      </c>
      <c r="BG4" s="4" t="s">
        <v>4</v>
      </c>
      <c r="BH4" s="4" t="s">
        <v>4</v>
      </c>
      <c r="BI4" s="4" t="s">
        <v>4</v>
      </c>
      <c r="BJ4" s="4" t="s">
        <v>4</v>
      </c>
      <c r="BK4" s="4" t="s">
        <v>5</v>
      </c>
      <c r="BL4" s="4" t="s">
        <v>38</v>
      </c>
      <c r="BM4" s="4" t="s">
        <v>5</v>
      </c>
      <c r="BN4" s="4" t="s">
        <v>4</v>
      </c>
    </row>
    <row r="5" spans="1:66" x14ac:dyDescent="0.35">
      <c r="A5" s="2">
        <f>ROW()-4</f>
        <v>1</v>
      </c>
      <c r="B5" s="1" t="s">
        <v>149</v>
      </c>
      <c r="C5" s="1" t="s">
        <v>150</v>
      </c>
      <c r="D5" s="1"/>
      <c r="E5" s="1" t="s">
        <v>151</v>
      </c>
      <c r="F5" s="1"/>
      <c r="G5" s="1" t="s">
        <v>152</v>
      </c>
      <c r="H5" s="1" t="s">
        <v>153</v>
      </c>
      <c r="I5" s="1" t="s">
        <v>106</v>
      </c>
      <c r="J5" s="1" t="s">
        <v>154</v>
      </c>
      <c r="K5" s="1"/>
      <c r="L5" s="1">
        <v>0</v>
      </c>
      <c r="M5" s="1">
        <v>30</v>
      </c>
      <c r="N5" s="1" t="s">
        <v>155</v>
      </c>
      <c r="O5" s="1">
        <v>1</v>
      </c>
      <c r="P5" s="1" t="s">
        <v>156</v>
      </c>
      <c r="Q5" s="1"/>
      <c r="R5" s="1" t="s">
        <v>157</v>
      </c>
      <c r="S5" s="1">
        <v>0</v>
      </c>
      <c r="T5" s="1" t="s">
        <v>158</v>
      </c>
      <c r="U5" s="1" t="s">
        <v>164</v>
      </c>
      <c r="V5" s="1" t="s">
        <v>159</v>
      </c>
      <c r="W5" s="1">
        <v>1049001</v>
      </c>
      <c r="X5" s="1"/>
      <c r="Y5" s="1">
        <v>30</v>
      </c>
      <c r="Z5" s="1">
        <v>18</v>
      </c>
      <c r="AA5" s="1" t="s">
        <v>165</v>
      </c>
      <c r="AB5" s="1"/>
      <c r="AC5" s="1" t="s">
        <v>155</v>
      </c>
      <c r="AD5" s="1">
        <v>1</v>
      </c>
      <c r="AE5" s="1">
        <v>8530</v>
      </c>
      <c r="AF5" s="1">
        <v>0</v>
      </c>
      <c r="AG5" s="1">
        <v>0</v>
      </c>
      <c r="AH5" s="1"/>
      <c r="AI5" s="1" t="s">
        <v>160</v>
      </c>
      <c r="AJ5" s="1" t="s">
        <v>111</v>
      </c>
      <c r="AK5" s="1" t="s">
        <v>108</v>
      </c>
      <c r="AL5" s="1" t="s">
        <v>109</v>
      </c>
      <c r="AM5" s="1" t="s">
        <v>161</v>
      </c>
      <c r="AN5" s="1" t="s">
        <v>108</v>
      </c>
      <c r="AO5" s="1">
        <v>6</v>
      </c>
      <c r="AP5" s="1" t="s">
        <v>162</v>
      </c>
      <c r="AQ5" s="1"/>
      <c r="AR5" s="1" t="s">
        <v>110</v>
      </c>
      <c r="AS5" s="1"/>
      <c r="AT5" s="1" t="s">
        <v>14</v>
      </c>
      <c r="AU5" s="1">
        <v>9</v>
      </c>
      <c r="AV5" s="1"/>
      <c r="AW5" s="1"/>
      <c r="AX5" s="1" t="s">
        <v>111</v>
      </c>
      <c r="AY5" s="1" t="s">
        <v>111</v>
      </c>
      <c r="AZ5" s="1"/>
      <c r="BA5" s="1"/>
      <c r="BB5" s="1"/>
      <c r="BC5" s="29">
        <v>100</v>
      </c>
      <c r="BD5" s="1">
        <v>1304</v>
      </c>
      <c r="BE5" s="1">
        <v>1.0600879000000001</v>
      </c>
      <c r="BF5" s="1"/>
      <c r="BG5" s="1" t="s">
        <v>163</v>
      </c>
      <c r="BH5" s="1" t="s">
        <v>111</v>
      </c>
      <c r="BI5" s="1"/>
      <c r="BJ5" s="1" t="s">
        <v>107</v>
      </c>
      <c r="BK5" s="1">
        <v>8.9999999999999998E-4</v>
      </c>
      <c r="BL5" s="1" t="s">
        <v>103</v>
      </c>
      <c r="BM5" s="1" t="s">
        <v>104</v>
      </c>
      <c r="BN5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1F1B9-F70F-40A4-B957-CC8CCA984875}">
  <dimension ref="A1:O18"/>
  <sheetViews>
    <sheetView topLeftCell="C1" workbookViewId="0">
      <selection activeCell="K16" sqref="K16"/>
    </sheetView>
  </sheetViews>
  <sheetFormatPr defaultRowHeight="14.5" x14ac:dyDescent="0.35"/>
  <cols>
    <col min="1" max="1" width="19.7265625" bestFit="1" customWidth="1"/>
    <col min="2" max="2" width="8.08984375" bestFit="1" customWidth="1"/>
    <col min="3" max="3" width="26.36328125" bestFit="1" customWidth="1"/>
    <col min="4" max="4" width="17.26953125" bestFit="1" customWidth="1"/>
    <col min="5" max="5" width="37.453125" bestFit="1" customWidth="1"/>
    <col min="6" max="6" width="17.26953125" bestFit="1" customWidth="1"/>
    <col min="7" max="7" width="15.6328125" bestFit="1" customWidth="1"/>
    <col min="8" max="8" width="17.26953125" bestFit="1" customWidth="1"/>
    <col min="9" max="9" width="15.6328125" bestFit="1" customWidth="1"/>
    <col min="10" max="10" width="14.453125" bestFit="1" customWidth="1"/>
    <col min="11" max="11" width="14.453125" customWidth="1"/>
    <col min="12" max="12" width="17.08984375" bestFit="1" customWidth="1"/>
    <col min="13" max="13" width="17.08984375" customWidth="1"/>
    <col min="14" max="14" width="25.26953125" customWidth="1"/>
  </cols>
  <sheetData>
    <row r="1" spans="1:15" x14ac:dyDescent="0.35">
      <c r="A1" s="3" t="s">
        <v>0</v>
      </c>
      <c r="B1" s="4" t="s">
        <v>20</v>
      </c>
      <c r="C1" s="4" t="s">
        <v>143</v>
      </c>
      <c r="D1" s="4" t="s">
        <v>120</v>
      </c>
      <c r="E1" s="4" t="s">
        <v>121</v>
      </c>
      <c r="F1" s="4" t="s">
        <v>123</v>
      </c>
      <c r="G1" s="4" t="s">
        <v>122</v>
      </c>
      <c r="H1" s="4" t="s">
        <v>125</v>
      </c>
      <c r="I1" s="4" t="s">
        <v>126</v>
      </c>
      <c r="J1" s="4" t="s">
        <v>40</v>
      </c>
      <c r="K1" s="4" t="s">
        <v>42</v>
      </c>
      <c r="L1" s="4" t="s">
        <v>41</v>
      </c>
      <c r="M1" s="4" t="s">
        <v>129</v>
      </c>
      <c r="N1" s="4" t="s">
        <v>13</v>
      </c>
    </row>
    <row r="2" spans="1:15" ht="29" x14ac:dyDescent="0.35">
      <c r="A2" s="6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7" t="s">
        <v>12</v>
      </c>
    </row>
    <row r="3" spans="1:15" x14ac:dyDescent="0.35">
      <c r="A3" s="3" t="s">
        <v>1</v>
      </c>
      <c r="B3" s="4" t="s">
        <v>2</v>
      </c>
      <c r="C3" s="4" t="s">
        <v>14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128</v>
      </c>
      <c r="K3" s="4" t="s">
        <v>2</v>
      </c>
      <c r="L3" s="4" t="s">
        <v>2</v>
      </c>
      <c r="M3" s="4" t="s">
        <v>2</v>
      </c>
      <c r="N3" s="4" t="s">
        <v>14</v>
      </c>
    </row>
    <row r="4" spans="1:15" x14ac:dyDescent="0.35">
      <c r="A4" s="3" t="s">
        <v>3</v>
      </c>
      <c r="B4" s="4" t="s">
        <v>4</v>
      </c>
      <c r="C4" s="4" t="s">
        <v>4</v>
      </c>
      <c r="D4" s="4" t="s">
        <v>4</v>
      </c>
      <c r="E4" s="4" t="s">
        <v>4</v>
      </c>
      <c r="F4" s="4" t="s">
        <v>4</v>
      </c>
      <c r="G4" s="4" t="s">
        <v>4</v>
      </c>
      <c r="H4" s="4" t="s">
        <v>4</v>
      </c>
      <c r="I4" s="4" t="s">
        <v>4</v>
      </c>
      <c r="J4" s="4" t="s">
        <v>4</v>
      </c>
      <c r="K4" s="4"/>
      <c r="L4" s="4" t="s">
        <v>4</v>
      </c>
      <c r="M4" s="4" t="s">
        <v>4</v>
      </c>
      <c r="N4" s="4" t="s">
        <v>4</v>
      </c>
    </row>
    <row r="5" spans="1:15" x14ac:dyDescent="0.35">
      <c r="A5" s="2">
        <f t="shared" ref="A5:A18" si="0">ROW()-4</f>
        <v>1</v>
      </c>
      <c r="B5" s="9" t="s">
        <v>34</v>
      </c>
      <c r="C5" s="9" t="s">
        <v>117</v>
      </c>
      <c r="D5" s="17" t="s">
        <v>30</v>
      </c>
      <c r="E5" s="18" t="s">
        <v>134</v>
      </c>
      <c r="F5" s="20"/>
      <c r="G5" s="20"/>
      <c r="H5" s="22"/>
      <c r="I5" s="22"/>
      <c r="J5" s="1" t="s">
        <v>28</v>
      </c>
      <c r="K5" s="12" t="s">
        <v>112</v>
      </c>
      <c r="L5" s="8">
        <v>2</v>
      </c>
      <c r="M5" s="1" t="s">
        <v>38</v>
      </c>
      <c r="N5" s="1"/>
    </row>
    <row r="6" spans="1:15" x14ac:dyDescent="0.35">
      <c r="A6" s="2">
        <f t="shared" si="0"/>
        <v>2</v>
      </c>
      <c r="B6" s="9" t="s">
        <v>34</v>
      </c>
      <c r="C6" s="9" t="s">
        <v>117</v>
      </c>
      <c r="D6" s="19" t="s">
        <v>25</v>
      </c>
      <c r="E6" s="18" t="s">
        <v>130</v>
      </c>
      <c r="F6" s="21" t="s">
        <v>26</v>
      </c>
      <c r="G6" s="20" t="s">
        <v>137</v>
      </c>
      <c r="H6" s="23"/>
      <c r="I6" s="23"/>
      <c r="J6" s="1" t="s">
        <v>28</v>
      </c>
      <c r="K6" s="12" t="s">
        <v>112</v>
      </c>
      <c r="L6" s="8">
        <v>1</v>
      </c>
      <c r="M6" s="1" t="s">
        <v>38</v>
      </c>
      <c r="N6" s="1"/>
    </row>
    <row r="7" spans="1:15" x14ac:dyDescent="0.35">
      <c r="A7" s="2">
        <f t="shared" si="0"/>
        <v>3</v>
      </c>
      <c r="B7" s="9" t="s">
        <v>33</v>
      </c>
      <c r="C7" s="9" t="s">
        <v>39</v>
      </c>
      <c r="D7" s="17" t="s">
        <v>30</v>
      </c>
      <c r="E7" s="18" t="s">
        <v>134</v>
      </c>
      <c r="F7" s="21"/>
      <c r="G7" s="21"/>
      <c r="H7" s="23"/>
      <c r="I7" s="23"/>
      <c r="J7" s="1"/>
      <c r="K7" s="12"/>
      <c r="L7" s="1"/>
      <c r="M7" s="1"/>
      <c r="N7" s="1"/>
    </row>
    <row r="8" spans="1:15" x14ac:dyDescent="0.35">
      <c r="A8" s="2">
        <f t="shared" si="0"/>
        <v>4</v>
      </c>
      <c r="B8" s="9" t="s">
        <v>33</v>
      </c>
      <c r="C8" s="9" t="s">
        <v>39</v>
      </c>
      <c r="D8" s="19" t="s">
        <v>32</v>
      </c>
      <c r="E8" s="18" t="s">
        <v>136</v>
      </c>
      <c r="F8" s="21"/>
      <c r="G8" s="21"/>
      <c r="H8" s="23"/>
      <c r="I8" s="23"/>
      <c r="J8" s="1"/>
      <c r="K8" s="12"/>
      <c r="L8" s="1"/>
      <c r="M8" s="1"/>
      <c r="N8" s="1"/>
    </row>
    <row r="9" spans="1:15" x14ac:dyDescent="0.35">
      <c r="A9" s="2">
        <f>ROW()-4</f>
        <v>5</v>
      </c>
      <c r="B9" s="9" t="s">
        <v>34</v>
      </c>
      <c r="C9" s="9" t="s">
        <v>39</v>
      </c>
      <c r="D9" s="17" t="s">
        <v>30</v>
      </c>
      <c r="E9" s="18" t="s">
        <v>134</v>
      </c>
      <c r="F9" s="20"/>
      <c r="G9" s="20"/>
      <c r="H9" s="22"/>
      <c r="I9" s="22"/>
      <c r="J9" s="1" t="s">
        <v>21</v>
      </c>
      <c r="K9" s="12" t="s">
        <v>112</v>
      </c>
      <c r="L9" s="1" t="s">
        <v>22</v>
      </c>
      <c r="M9" s="1" t="s">
        <v>4</v>
      </c>
      <c r="N9" s="1"/>
      <c r="O9" s="10"/>
    </row>
    <row r="10" spans="1:15" x14ac:dyDescent="0.35">
      <c r="A10" s="2">
        <f t="shared" si="0"/>
        <v>6</v>
      </c>
      <c r="B10" s="9" t="s">
        <v>34</v>
      </c>
      <c r="C10" s="9" t="s">
        <v>39</v>
      </c>
      <c r="D10" s="17" t="s">
        <v>30</v>
      </c>
      <c r="E10" s="18" t="s">
        <v>134</v>
      </c>
      <c r="F10" s="20"/>
      <c r="G10" s="20"/>
      <c r="H10" s="22"/>
      <c r="I10" s="22"/>
      <c r="J10" s="1" t="s">
        <v>25</v>
      </c>
      <c r="K10" s="12" t="s">
        <v>112</v>
      </c>
      <c r="L10" s="1" t="s">
        <v>27</v>
      </c>
      <c r="M10" s="1" t="s">
        <v>4</v>
      </c>
      <c r="N10" s="1"/>
    </row>
    <row r="11" spans="1:15" x14ac:dyDescent="0.35">
      <c r="A11" s="2">
        <f t="shared" si="0"/>
        <v>7</v>
      </c>
      <c r="B11" s="9" t="s">
        <v>34</v>
      </c>
      <c r="C11" s="9" t="s">
        <v>39</v>
      </c>
      <c r="D11" s="17" t="s">
        <v>30</v>
      </c>
      <c r="E11" s="18" t="s">
        <v>134</v>
      </c>
      <c r="F11" s="20"/>
      <c r="G11" s="20"/>
      <c r="H11" s="22"/>
      <c r="I11" s="22"/>
      <c r="J11" s="1" t="s">
        <v>26</v>
      </c>
      <c r="K11" s="12" t="s">
        <v>112</v>
      </c>
      <c r="L11" s="1" t="s">
        <v>7</v>
      </c>
      <c r="M11" s="1" t="s">
        <v>4</v>
      </c>
      <c r="N11" s="1"/>
    </row>
    <row r="12" spans="1:15" x14ac:dyDescent="0.35">
      <c r="A12" s="2">
        <f t="shared" si="0"/>
        <v>8</v>
      </c>
      <c r="B12" s="9" t="s">
        <v>34</v>
      </c>
      <c r="C12" s="9" t="s">
        <v>39</v>
      </c>
      <c r="D12" s="17" t="s">
        <v>30</v>
      </c>
      <c r="E12" s="18" t="s">
        <v>134</v>
      </c>
      <c r="F12" s="20"/>
      <c r="G12" s="20"/>
      <c r="H12" s="22"/>
      <c r="I12" s="22"/>
      <c r="J12" s="1" t="s">
        <v>23</v>
      </c>
      <c r="K12" s="12" t="s">
        <v>112</v>
      </c>
      <c r="L12" s="8">
        <v>1000</v>
      </c>
      <c r="M12" s="1" t="s">
        <v>4</v>
      </c>
      <c r="N12" s="1"/>
    </row>
    <row r="13" spans="1:15" x14ac:dyDescent="0.35">
      <c r="A13" s="2">
        <f t="shared" si="0"/>
        <v>9</v>
      </c>
      <c r="B13" s="9" t="s">
        <v>34</v>
      </c>
      <c r="C13" s="9" t="s">
        <v>39</v>
      </c>
      <c r="D13" s="17" t="s">
        <v>30</v>
      </c>
      <c r="E13" s="18" t="s">
        <v>134</v>
      </c>
      <c r="F13" s="20"/>
      <c r="G13" s="20"/>
      <c r="H13" s="22"/>
      <c r="I13" s="22"/>
      <c r="J13" s="1" t="s">
        <v>24</v>
      </c>
      <c r="K13" s="12" t="s">
        <v>112</v>
      </c>
      <c r="L13" s="8">
        <v>3000000000</v>
      </c>
      <c r="M13" s="1" t="s">
        <v>5</v>
      </c>
      <c r="N13" s="1"/>
      <c r="O13" s="13"/>
    </row>
    <row r="14" spans="1:15" x14ac:dyDescent="0.35">
      <c r="A14" s="2">
        <f t="shared" si="0"/>
        <v>10</v>
      </c>
      <c r="B14" s="9" t="s">
        <v>34</v>
      </c>
      <c r="C14" s="9" t="s">
        <v>39</v>
      </c>
      <c r="D14" s="19" t="s">
        <v>25</v>
      </c>
      <c r="E14" s="18" t="s">
        <v>130</v>
      </c>
      <c r="F14" s="21" t="s">
        <v>124</v>
      </c>
      <c r="G14" s="20" t="s">
        <v>138</v>
      </c>
      <c r="H14" s="23" t="s">
        <v>127</v>
      </c>
      <c r="I14" s="22" t="s">
        <v>139</v>
      </c>
      <c r="J14" s="1" t="s">
        <v>26</v>
      </c>
      <c r="K14" s="12" t="s">
        <v>112</v>
      </c>
      <c r="L14" s="1" t="s">
        <v>6</v>
      </c>
      <c r="M14" s="1" t="s">
        <v>4</v>
      </c>
      <c r="N14" s="1"/>
    </row>
    <row r="15" spans="1:15" x14ac:dyDescent="0.35">
      <c r="A15" s="2">
        <f t="shared" si="0"/>
        <v>11</v>
      </c>
      <c r="B15" s="9" t="s">
        <v>34</v>
      </c>
      <c r="C15" s="9" t="s">
        <v>39</v>
      </c>
      <c r="D15" s="19" t="s">
        <v>25</v>
      </c>
      <c r="E15" s="18" t="s">
        <v>130</v>
      </c>
      <c r="F15" s="21" t="s">
        <v>124</v>
      </c>
      <c r="G15" s="20" t="s">
        <v>138</v>
      </c>
      <c r="H15" s="23" t="s">
        <v>127</v>
      </c>
      <c r="I15" s="23" t="s">
        <v>140</v>
      </c>
      <c r="J15" s="1" t="s">
        <v>26</v>
      </c>
      <c r="K15" s="12" t="s">
        <v>112</v>
      </c>
      <c r="L15" s="1" t="s">
        <v>7</v>
      </c>
      <c r="M15" s="1" t="s">
        <v>4</v>
      </c>
      <c r="N15" s="1"/>
      <c r="O15" s="13"/>
    </row>
    <row r="16" spans="1:15" x14ac:dyDescent="0.35">
      <c r="A16" s="2">
        <f t="shared" si="0"/>
        <v>12</v>
      </c>
      <c r="B16" s="9" t="s">
        <v>34</v>
      </c>
      <c r="C16" s="9" t="s">
        <v>39</v>
      </c>
      <c r="D16" s="19" t="s">
        <v>29</v>
      </c>
      <c r="E16" s="18" t="s">
        <v>135</v>
      </c>
      <c r="F16" s="21"/>
      <c r="G16" s="21"/>
      <c r="H16" s="23"/>
      <c r="I16" s="23"/>
      <c r="J16" s="1" t="s">
        <v>21</v>
      </c>
      <c r="K16" s="12" t="s">
        <v>112</v>
      </c>
      <c r="L16" s="8" t="s">
        <v>31</v>
      </c>
      <c r="M16" s="1" t="s">
        <v>4</v>
      </c>
      <c r="N16" s="1"/>
    </row>
    <row r="17" spans="1:14" x14ac:dyDescent="0.35">
      <c r="A17" s="2">
        <f t="shared" si="0"/>
        <v>13</v>
      </c>
      <c r="B17" s="9" t="s">
        <v>34</v>
      </c>
      <c r="C17" s="9" t="s">
        <v>39</v>
      </c>
      <c r="D17" s="19" t="s">
        <v>32</v>
      </c>
      <c r="E17" s="18" t="s">
        <v>133</v>
      </c>
      <c r="F17" s="21"/>
      <c r="G17" s="21"/>
      <c r="H17" s="23"/>
      <c r="I17" s="23"/>
      <c r="J17" s="1" t="s">
        <v>23</v>
      </c>
      <c r="K17" s="12" t="s">
        <v>112</v>
      </c>
      <c r="L17" s="8">
        <v>700</v>
      </c>
      <c r="M17" s="1" t="s">
        <v>4</v>
      </c>
      <c r="N17" s="1"/>
    </row>
    <row r="18" spans="1:14" s="27" customFormat="1" x14ac:dyDescent="0.35">
      <c r="A18" s="25">
        <f t="shared" si="0"/>
        <v>14</v>
      </c>
      <c r="B18" s="14" t="s">
        <v>34</v>
      </c>
      <c r="C18" s="14" t="s">
        <v>48</v>
      </c>
      <c r="D18" s="15" t="s">
        <v>32</v>
      </c>
      <c r="E18" s="16" t="s">
        <v>133</v>
      </c>
      <c r="F18" s="15"/>
      <c r="G18" s="15"/>
      <c r="H18" s="15"/>
      <c r="I18" s="15"/>
      <c r="J18" s="15" t="s">
        <v>166</v>
      </c>
      <c r="K18" s="16" t="s">
        <v>112</v>
      </c>
      <c r="L18" s="26">
        <v>0</v>
      </c>
      <c r="M18" s="15" t="s">
        <v>5</v>
      </c>
      <c r="N18" s="15"/>
    </row>
  </sheetData>
  <phoneticPr fontId="9" type="noConversion"/>
  <dataValidations count="1">
    <dataValidation type="list" allowBlank="1" showInputMessage="1" showErrorMessage="1" sqref="B14:B18 B5:B13" xr:uid="{7F06175D-FED8-446F-A7B4-D4BD19F160F4}">
      <formula1>"Override,Delete"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D865-F694-410B-A010-BCFAD203B8F3}">
  <sheetPr>
    <tabColor rgb="FFFFE600"/>
  </sheetPr>
  <dimension ref="A1:O15"/>
  <sheetViews>
    <sheetView workbookViewId="0">
      <selection activeCell="C18" sqref="C18"/>
    </sheetView>
  </sheetViews>
  <sheetFormatPr defaultRowHeight="14.5" x14ac:dyDescent="0.35"/>
  <cols>
    <col min="1" max="1" width="19.7265625" bestFit="1" customWidth="1"/>
    <col min="2" max="2" width="8.08984375" bestFit="1" customWidth="1"/>
    <col min="3" max="3" width="26.36328125" bestFit="1" customWidth="1"/>
    <col min="4" max="4" width="17.26953125" bestFit="1" customWidth="1"/>
    <col min="5" max="5" width="42.90625" bestFit="1" customWidth="1"/>
    <col min="6" max="6" width="17.26953125" bestFit="1" customWidth="1"/>
    <col min="7" max="7" width="15.6328125" bestFit="1" customWidth="1"/>
    <col min="8" max="8" width="17.26953125" bestFit="1" customWidth="1"/>
    <col min="9" max="9" width="15.6328125" bestFit="1" customWidth="1"/>
    <col min="10" max="10" width="14.453125" bestFit="1" customWidth="1"/>
    <col min="11" max="11" width="14.453125" customWidth="1"/>
    <col min="12" max="12" width="17.08984375" bestFit="1" customWidth="1"/>
    <col min="13" max="13" width="17.08984375" customWidth="1"/>
    <col min="14" max="14" width="25.26953125" customWidth="1"/>
  </cols>
  <sheetData>
    <row r="1" spans="1:15" x14ac:dyDescent="0.35">
      <c r="A1" s="3" t="s">
        <v>0</v>
      </c>
      <c r="B1" s="4" t="s">
        <v>20</v>
      </c>
      <c r="C1" s="4" t="s">
        <v>143</v>
      </c>
      <c r="D1" s="4" t="s">
        <v>120</v>
      </c>
      <c r="E1" s="4" t="s">
        <v>121</v>
      </c>
      <c r="F1" s="4" t="s">
        <v>123</v>
      </c>
      <c r="G1" s="4" t="s">
        <v>122</v>
      </c>
      <c r="H1" s="4" t="s">
        <v>125</v>
      </c>
      <c r="I1" s="4" t="s">
        <v>126</v>
      </c>
      <c r="J1" s="4" t="s">
        <v>40</v>
      </c>
      <c r="K1" s="4" t="s">
        <v>42</v>
      </c>
      <c r="L1" s="4" t="s">
        <v>41</v>
      </c>
      <c r="M1" s="4" t="s">
        <v>129</v>
      </c>
      <c r="N1" s="4" t="s">
        <v>13</v>
      </c>
    </row>
    <row r="2" spans="1:15" ht="29" x14ac:dyDescent="0.35">
      <c r="A2" s="6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7" t="s">
        <v>12</v>
      </c>
    </row>
    <row r="3" spans="1:15" x14ac:dyDescent="0.35">
      <c r="A3" s="3" t="s">
        <v>1</v>
      </c>
      <c r="B3" s="4" t="s">
        <v>2</v>
      </c>
      <c r="C3" s="4" t="s">
        <v>14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128</v>
      </c>
      <c r="K3" s="4" t="s">
        <v>2</v>
      </c>
      <c r="L3" s="4" t="s">
        <v>2</v>
      </c>
      <c r="M3" s="4" t="s">
        <v>2</v>
      </c>
      <c r="N3" s="4" t="s">
        <v>14</v>
      </c>
    </row>
    <row r="4" spans="1:15" x14ac:dyDescent="0.35">
      <c r="A4" s="3" t="s">
        <v>3</v>
      </c>
      <c r="B4" s="4" t="s">
        <v>4</v>
      </c>
      <c r="C4" s="4" t="s">
        <v>4</v>
      </c>
      <c r="D4" s="4" t="s">
        <v>4</v>
      </c>
      <c r="E4" s="4" t="s">
        <v>4</v>
      </c>
      <c r="F4" s="4" t="s">
        <v>4</v>
      </c>
      <c r="G4" s="4" t="s">
        <v>4</v>
      </c>
      <c r="H4" s="4" t="s">
        <v>4</v>
      </c>
      <c r="I4" s="4" t="s">
        <v>4</v>
      </c>
      <c r="J4" s="4" t="s">
        <v>4</v>
      </c>
      <c r="K4" s="4"/>
      <c r="L4" s="4" t="s">
        <v>4</v>
      </c>
      <c r="M4" s="4" t="s">
        <v>4</v>
      </c>
      <c r="N4" s="4" t="s">
        <v>4</v>
      </c>
    </row>
    <row r="5" spans="1:15" x14ac:dyDescent="0.35">
      <c r="A5" s="2">
        <f t="shared" ref="A5:A6" si="0">ROW()-4</f>
        <v>1</v>
      </c>
      <c r="B5" s="9" t="s">
        <v>34</v>
      </c>
      <c r="C5" s="9" t="s">
        <v>117</v>
      </c>
      <c r="D5" s="19" t="s">
        <v>25</v>
      </c>
      <c r="E5" s="18" t="s">
        <v>130</v>
      </c>
      <c r="F5" s="21" t="s">
        <v>26</v>
      </c>
      <c r="G5" s="20" t="s">
        <v>137</v>
      </c>
      <c r="H5" s="23"/>
      <c r="I5" s="23"/>
      <c r="J5" s="1" t="s">
        <v>141</v>
      </c>
      <c r="K5" s="12" t="s">
        <v>112</v>
      </c>
      <c r="L5" s="8">
        <v>1</v>
      </c>
      <c r="M5" s="1" t="s">
        <v>38</v>
      </c>
      <c r="N5" s="1"/>
    </row>
    <row r="6" spans="1:15" x14ac:dyDescent="0.35">
      <c r="A6" s="2">
        <f t="shared" si="0"/>
        <v>2</v>
      </c>
      <c r="B6" s="9" t="s">
        <v>33</v>
      </c>
      <c r="C6" s="9" t="s">
        <v>39</v>
      </c>
      <c r="D6" s="17" t="s">
        <v>30</v>
      </c>
      <c r="E6" s="18" t="s">
        <v>168</v>
      </c>
      <c r="F6" s="21"/>
      <c r="G6" s="21"/>
      <c r="H6" s="23"/>
      <c r="I6" s="23"/>
      <c r="J6" s="1"/>
      <c r="K6" s="12"/>
      <c r="L6" s="1"/>
      <c r="M6" s="1"/>
      <c r="N6" s="1"/>
    </row>
    <row r="7" spans="1:15" x14ac:dyDescent="0.35">
      <c r="A7" s="2">
        <f>ROW()-4</f>
        <v>3</v>
      </c>
      <c r="B7" s="9" t="s">
        <v>34</v>
      </c>
      <c r="C7" s="9" t="s">
        <v>39</v>
      </c>
      <c r="D7" s="17" t="s">
        <v>30</v>
      </c>
      <c r="E7" s="18" t="s">
        <v>169</v>
      </c>
      <c r="F7" s="20"/>
      <c r="G7" s="20"/>
      <c r="H7" s="22"/>
      <c r="I7" s="22"/>
      <c r="J7" s="1" t="s">
        <v>21</v>
      </c>
      <c r="K7" s="12" t="s">
        <v>112</v>
      </c>
      <c r="L7" s="1" t="s">
        <v>22</v>
      </c>
      <c r="M7" s="1" t="s">
        <v>4</v>
      </c>
      <c r="N7" s="1"/>
      <c r="O7" s="10"/>
    </row>
    <row r="15" spans="1:15" x14ac:dyDescent="0.35">
      <c r="I15" s="28"/>
    </row>
  </sheetData>
  <dataValidations count="1">
    <dataValidation type="list" allowBlank="1" showInputMessage="1" showErrorMessage="1" sqref="B5:B7" xr:uid="{98D145BA-4346-4CA5-851C-2B7E7E17E1EC}">
      <formula1>"Override,Delete"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02EC-D097-4C90-BBC2-FC24FD070A1D}">
  <dimension ref="A1:E6"/>
  <sheetViews>
    <sheetView workbookViewId="0">
      <selection activeCell="J14" sqref="J14"/>
    </sheetView>
  </sheetViews>
  <sheetFormatPr defaultRowHeight="14.5" x14ac:dyDescent="0.35"/>
  <cols>
    <col min="1" max="1" width="19.7265625" bestFit="1" customWidth="1"/>
    <col min="2" max="2" width="31.26953125" bestFit="1" customWidth="1"/>
    <col min="3" max="3" width="6.54296875" bestFit="1" customWidth="1"/>
    <col min="4" max="4" width="13.54296875" bestFit="1" customWidth="1"/>
    <col min="5" max="5" width="7.453125" bestFit="1" customWidth="1"/>
  </cols>
  <sheetData>
    <row r="1" spans="1:5" x14ac:dyDescent="0.35">
      <c r="A1" s="6" t="s">
        <v>0</v>
      </c>
      <c r="B1" s="4" t="s">
        <v>8</v>
      </c>
      <c r="C1" s="4" t="s">
        <v>36</v>
      </c>
      <c r="D1" s="4" t="s">
        <v>44</v>
      </c>
      <c r="E1" s="4" t="s">
        <v>47</v>
      </c>
    </row>
    <row r="2" spans="1:5" x14ac:dyDescent="0.35">
      <c r="A2" s="6" t="s">
        <v>11</v>
      </c>
      <c r="B2" s="4"/>
      <c r="C2" s="4"/>
      <c r="D2" s="4"/>
      <c r="E2" s="4"/>
    </row>
    <row r="3" spans="1:5" x14ac:dyDescent="0.35">
      <c r="A3" s="3" t="s">
        <v>1</v>
      </c>
      <c r="B3" s="4" t="s">
        <v>2</v>
      </c>
      <c r="C3" s="4" t="s">
        <v>2</v>
      </c>
      <c r="D3" s="4" t="s">
        <v>2</v>
      </c>
      <c r="E3" s="4" t="s">
        <v>14</v>
      </c>
    </row>
    <row r="4" spans="1:5" x14ac:dyDescent="0.35">
      <c r="A4" s="3" t="s">
        <v>3</v>
      </c>
      <c r="B4" s="4" t="s">
        <v>4</v>
      </c>
      <c r="C4" s="4" t="s">
        <v>4</v>
      </c>
      <c r="D4" s="4" t="s">
        <v>4</v>
      </c>
      <c r="E4" s="4" t="s">
        <v>4</v>
      </c>
    </row>
    <row r="5" spans="1:5" x14ac:dyDescent="0.35">
      <c r="A5" s="2">
        <f>ROW()-4</f>
        <v>1</v>
      </c>
      <c r="B5" s="1" t="s">
        <v>49</v>
      </c>
      <c r="C5" s="1" t="s">
        <v>45</v>
      </c>
      <c r="D5" s="1">
        <v>100</v>
      </c>
      <c r="E5" s="1"/>
    </row>
    <row r="6" spans="1:5" x14ac:dyDescent="0.35">
      <c r="A6" s="2">
        <f t="shared" ref="A6" si="0">ROW()-4</f>
        <v>2</v>
      </c>
      <c r="B6" s="1" t="s">
        <v>50</v>
      </c>
      <c r="C6" s="1" t="s">
        <v>46</v>
      </c>
      <c r="D6" s="1">
        <v>200</v>
      </c>
      <c r="E6" s="1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EBE2-DA22-41CC-9693-53782A112E27}">
  <dimension ref="A1:L10"/>
  <sheetViews>
    <sheetView tabSelected="1" topLeftCell="E1" workbookViewId="0">
      <selection activeCell="H18" sqref="H18"/>
    </sheetView>
  </sheetViews>
  <sheetFormatPr defaultRowHeight="14.5" x14ac:dyDescent="0.35"/>
  <cols>
    <col min="1" max="1" width="19.7265625" bestFit="1" customWidth="1"/>
    <col min="2" max="2" width="24.54296875" bestFit="1" customWidth="1"/>
    <col min="3" max="3" width="13.7265625" customWidth="1"/>
    <col min="4" max="4" width="17.26953125" bestFit="1" customWidth="1"/>
    <col min="5" max="5" width="37.453125" bestFit="1" customWidth="1"/>
    <col min="6" max="6" width="17.26953125" bestFit="1" customWidth="1"/>
    <col min="7" max="7" width="20.36328125" bestFit="1" customWidth="1"/>
    <col min="8" max="8" width="16.26953125" bestFit="1" customWidth="1"/>
    <col min="9" max="9" width="16.26953125" customWidth="1"/>
    <col min="10" max="10" width="17.08984375" bestFit="1" customWidth="1"/>
    <col min="11" max="11" width="17.08984375" customWidth="1"/>
    <col min="12" max="12" width="25.26953125" customWidth="1"/>
  </cols>
  <sheetData>
    <row r="1" spans="1:12" x14ac:dyDescent="0.35">
      <c r="A1" s="3" t="s">
        <v>0</v>
      </c>
      <c r="B1" s="4" t="s">
        <v>20</v>
      </c>
      <c r="C1" s="4" t="s">
        <v>43</v>
      </c>
      <c r="D1" s="4" t="s">
        <v>120</v>
      </c>
      <c r="E1" s="4" t="s">
        <v>121</v>
      </c>
      <c r="F1" s="4" t="s">
        <v>123</v>
      </c>
      <c r="G1" s="4" t="s">
        <v>122</v>
      </c>
      <c r="H1" s="4" t="s">
        <v>40</v>
      </c>
      <c r="I1" s="4" t="s">
        <v>42</v>
      </c>
      <c r="J1" s="4" t="s">
        <v>41</v>
      </c>
      <c r="K1" s="4" t="s">
        <v>129</v>
      </c>
      <c r="L1" s="4" t="s">
        <v>13</v>
      </c>
    </row>
    <row r="2" spans="1:12" ht="29" x14ac:dyDescent="0.35">
      <c r="A2" s="6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  <c r="L2" s="7" t="s">
        <v>12</v>
      </c>
    </row>
    <row r="3" spans="1:12" x14ac:dyDescent="0.35">
      <c r="A3" s="3" t="s">
        <v>1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14</v>
      </c>
    </row>
    <row r="4" spans="1:12" x14ac:dyDescent="0.35">
      <c r="A4" s="3" t="s">
        <v>3</v>
      </c>
      <c r="B4" s="4" t="s">
        <v>4</v>
      </c>
      <c r="C4" s="4"/>
      <c r="D4" s="4" t="s">
        <v>4</v>
      </c>
      <c r="E4" s="4" t="s">
        <v>4</v>
      </c>
      <c r="F4" s="4" t="s">
        <v>4</v>
      </c>
      <c r="G4" s="4" t="s">
        <v>4</v>
      </c>
      <c r="H4" s="4" t="s">
        <v>4</v>
      </c>
      <c r="I4" s="4" t="s">
        <v>4</v>
      </c>
      <c r="J4" s="4" t="s">
        <v>5</v>
      </c>
      <c r="K4" s="4" t="s">
        <v>4</v>
      </c>
      <c r="L4" s="4" t="s">
        <v>4</v>
      </c>
    </row>
    <row r="5" spans="1:12" x14ac:dyDescent="0.35">
      <c r="A5" s="2">
        <f t="shared" ref="A5:A10" si="0">ROW()-4</f>
        <v>1</v>
      </c>
      <c r="B5" s="9" t="s">
        <v>34</v>
      </c>
      <c r="C5" s="1" t="s">
        <v>14</v>
      </c>
      <c r="D5" s="17" t="s">
        <v>8</v>
      </c>
      <c r="E5" s="18" t="s">
        <v>132</v>
      </c>
      <c r="F5" s="20"/>
      <c r="G5" s="20"/>
      <c r="H5" s="1" t="s">
        <v>171</v>
      </c>
      <c r="I5" s="12" t="s">
        <v>112</v>
      </c>
      <c r="J5" s="11">
        <v>200000</v>
      </c>
      <c r="K5" s="24" t="s">
        <v>5</v>
      </c>
      <c r="L5" s="1"/>
    </row>
    <row r="6" spans="1:12" x14ac:dyDescent="0.35">
      <c r="A6" s="2">
        <f t="shared" si="0"/>
        <v>2</v>
      </c>
      <c r="B6" s="9" t="s">
        <v>34</v>
      </c>
      <c r="C6" s="1" t="s">
        <v>14</v>
      </c>
      <c r="D6" s="17" t="s">
        <v>115</v>
      </c>
      <c r="E6" s="18" t="s">
        <v>133</v>
      </c>
      <c r="F6" s="20"/>
      <c r="G6" s="20"/>
      <c r="H6" s="1" t="s">
        <v>171</v>
      </c>
      <c r="I6" s="12" t="s">
        <v>112</v>
      </c>
      <c r="J6" s="11">
        <v>0</v>
      </c>
      <c r="K6" s="24" t="s">
        <v>5</v>
      </c>
      <c r="L6" s="1"/>
    </row>
    <row r="7" spans="1:12" x14ac:dyDescent="0.35">
      <c r="A7" s="2">
        <f t="shared" si="0"/>
        <v>3</v>
      </c>
      <c r="B7" s="9" t="s">
        <v>35</v>
      </c>
      <c r="C7" s="1" t="s">
        <v>14</v>
      </c>
      <c r="D7" s="19" t="s">
        <v>118</v>
      </c>
      <c r="E7" s="18" t="s">
        <v>130</v>
      </c>
      <c r="F7" s="21" t="s">
        <v>119</v>
      </c>
      <c r="G7" s="20" t="s">
        <v>131</v>
      </c>
      <c r="H7" s="1" t="s">
        <v>171</v>
      </c>
      <c r="I7" s="1" t="s">
        <v>113</v>
      </c>
      <c r="J7" s="11">
        <v>1.2</v>
      </c>
      <c r="K7" s="24" t="s">
        <v>5</v>
      </c>
      <c r="L7" s="1"/>
    </row>
    <row r="8" spans="1:12" x14ac:dyDescent="0.35">
      <c r="A8" s="2">
        <f t="shared" si="0"/>
        <v>4</v>
      </c>
      <c r="B8" s="9" t="s">
        <v>35</v>
      </c>
      <c r="C8" s="1" t="s">
        <v>14</v>
      </c>
      <c r="D8" s="17" t="s">
        <v>8</v>
      </c>
      <c r="E8" s="18" t="s">
        <v>134</v>
      </c>
      <c r="F8" s="20"/>
      <c r="G8" s="20"/>
      <c r="H8" s="1" t="s">
        <v>171</v>
      </c>
      <c r="I8" s="1" t="s">
        <v>114</v>
      </c>
      <c r="J8" s="11">
        <v>10000</v>
      </c>
      <c r="K8" s="24" t="s">
        <v>5</v>
      </c>
      <c r="L8" s="1"/>
    </row>
    <row r="9" spans="1:12" x14ac:dyDescent="0.35">
      <c r="A9" s="2">
        <f t="shared" si="0"/>
        <v>5</v>
      </c>
      <c r="B9" s="9" t="s">
        <v>35</v>
      </c>
      <c r="C9" s="1" t="s">
        <v>2</v>
      </c>
      <c r="D9" s="19" t="s">
        <v>116</v>
      </c>
      <c r="E9" s="18" t="s">
        <v>135</v>
      </c>
      <c r="F9" s="21"/>
      <c r="G9" s="21"/>
      <c r="H9" s="1" t="s">
        <v>171</v>
      </c>
      <c r="I9" s="1" t="s">
        <v>114</v>
      </c>
      <c r="J9" s="8">
        <v>10000</v>
      </c>
      <c r="K9" s="24" t="s">
        <v>5</v>
      </c>
      <c r="L9" s="1"/>
    </row>
    <row r="10" spans="1:12" x14ac:dyDescent="0.35">
      <c r="A10" s="2">
        <f t="shared" si="0"/>
        <v>6</v>
      </c>
      <c r="B10" s="9" t="s">
        <v>34</v>
      </c>
      <c r="C10" s="1" t="s">
        <v>2</v>
      </c>
      <c r="D10" s="19" t="s">
        <v>116</v>
      </c>
      <c r="E10" s="18" t="s">
        <v>135</v>
      </c>
      <c r="F10" s="21"/>
      <c r="G10" s="21"/>
      <c r="H10" s="1" t="s">
        <v>171</v>
      </c>
      <c r="I10" s="12" t="s">
        <v>112</v>
      </c>
      <c r="J10" s="8">
        <v>10000</v>
      </c>
      <c r="K10" s="24" t="s">
        <v>5</v>
      </c>
      <c r="L10" s="1"/>
    </row>
  </sheetData>
  <phoneticPr fontId="9" type="noConversion"/>
  <dataValidations count="2">
    <dataValidation type="list" allowBlank="1" showInputMessage="1" showErrorMessage="1" sqref="B6:C7 B9:C10" xr:uid="{C5DEB7F2-73B5-445F-8453-FD5731260482}">
      <formula1>"Override,Overlay"</formula1>
    </dataValidation>
    <dataValidation type="list" allowBlank="1" showInputMessage="1" showErrorMessage="1" sqref="B5:C5 B8:C8" xr:uid="{34A635D3-6276-481C-8619-0F8F79045BF1}">
      <formula1>"Override,Overlay,"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E22A-F644-4513-9970-65D7D12F5150}">
  <sheetPr>
    <tabColor rgb="FFFFE600"/>
  </sheetPr>
  <dimension ref="A1:L6"/>
  <sheetViews>
    <sheetView workbookViewId="0">
      <selection activeCell="H7" sqref="H7"/>
    </sheetView>
  </sheetViews>
  <sheetFormatPr defaultRowHeight="14.5" x14ac:dyDescent="0.35"/>
  <cols>
    <col min="1" max="1" width="19.7265625" bestFit="1" customWidth="1"/>
    <col min="2" max="2" width="24.54296875" bestFit="1" customWidth="1"/>
    <col min="3" max="3" width="13.7265625" customWidth="1"/>
    <col min="4" max="4" width="17.26953125" bestFit="1" customWidth="1"/>
    <col min="5" max="5" width="37.453125" bestFit="1" customWidth="1"/>
    <col min="6" max="6" width="17.26953125" bestFit="1" customWidth="1"/>
    <col min="7" max="7" width="20.36328125" bestFit="1" customWidth="1"/>
    <col min="8" max="8" width="16.26953125" bestFit="1" customWidth="1"/>
    <col min="9" max="9" width="16.26953125" customWidth="1"/>
    <col min="10" max="10" width="17.08984375" bestFit="1" customWidth="1"/>
    <col min="11" max="11" width="17.08984375" customWidth="1"/>
    <col min="12" max="12" width="25.26953125" customWidth="1"/>
  </cols>
  <sheetData>
    <row r="1" spans="1:12" x14ac:dyDescent="0.35">
      <c r="A1" s="3" t="s">
        <v>0</v>
      </c>
      <c r="B1" s="4" t="s">
        <v>20</v>
      </c>
      <c r="C1" s="4" t="s">
        <v>43</v>
      </c>
      <c r="D1" s="4" t="s">
        <v>120</v>
      </c>
      <c r="E1" s="4" t="s">
        <v>121</v>
      </c>
      <c r="F1" s="4" t="s">
        <v>123</v>
      </c>
      <c r="G1" s="4" t="s">
        <v>122</v>
      </c>
      <c r="H1" s="4" t="s">
        <v>40</v>
      </c>
      <c r="I1" s="4" t="s">
        <v>42</v>
      </c>
      <c r="J1" s="4" t="s">
        <v>41</v>
      </c>
      <c r="K1" s="4" t="s">
        <v>129</v>
      </c>
      <c r="L1" s="4" t="s">
        <v>13</v>
      </c>
    </row>
    <row r="2" spans="1:12" ht="29" x14ac:dyDescent="0.35">
      <c r="A2" s="6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  <c r="L2" s="7" t="s">
        <v>12</v>
      </c>
    </row>
    <row r="3" spans="1:12" x14ac:dyDescent="0.35">
      <c r="A3" s="3" t="s">
        <v>1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14</v>
      </c>
    </row>
    <row r="4" spans="1:12" x14ac:dyDescent="0.35">
      <c r="A4" s="3" t="s">
        <v>3</v>
      </c>
      <c r="B4" s="4" t="s">
        <v>4</v>
      </c>
      <c r="C4" s="4"/>
      <c r="D4" s="4" t="s">
        <v>4</v>
      </c>
      <c r="E4" s="4" t="s">
        <v>4</v>
      </c>
      <c r="F4" s="4" t="s">
        <v>4</v>
      </c>
      <c r="G4" s="4" t="s">
        <v>4</v>
      </c>
      <c r="H4" s="4" t="s">
        <v>4</v>
      </c>
      <c r="I4" s="4" t="s">
        <v>4</v>
      </c>
      <c r="J4" s="4" t="s">
        <v>5</v>
      </c>
      <c r="K4" s="4" t="s">
        <v>4</v>
      </c>
      <c r="L4" s="4" t="s">
        <v>4</v>
      </c>
    </row>
    <row r="5" spans="1:12" x14ac:dyDescent="0.35">
      <c r="A5" s="2">
        <f t="shared" ref="A5:A6" si="0">ROW()-4</f>
        <v>1</v>
      </c>
      <c r="B5" s="9" t="s">
        <v>35</v>
      </c>
      <c r="C5" s="1" t="s">
        <v>14</v>
      </c>
      <c r="D5" s="19" t="s">
        <v>118</v>
      </c>
      <c r="E5" s="18" t="s">
        <v>130</v>
      </c>
      <c r="F5" s="21" t="s">
        <v>119</v>
      </c>
      <c r="G5" s="20" t="s">
        <v>142</v>
      </c>
      <c r="H5" s="1" t="s">
        <v>171</v>
      </c>
      <c r="I5" s="1" t="s">
        <v>113</v>
      </c>
      <c r="J5" s="11">
        <v>1.2</v>
      </c>
      <c r="K5" s="24" t="s">
        <v>5</v>
      </c>
      <c r="L5" s="1"/>
    </row>
    <row r="6" spans="1:12" x14ac:dyDescent="0.35">
      <c r="A6" s="2">
        <f t="shared" si="0"/>
        <v>2</v>
      </c>
      <c r="B6" s="9" t="s">
        <v>35</v>
      </c>
      <c r="C6" s="1" t="s">
        <v>2</v>
      </c>
      <c r="D6" s="19" t="s">
        <v>116</v>
      </c>
      <c r="E6" s="18" t="s">
        <v>170</v>
      </c>
      <c r="F6" s="21"/>
      <c r="G6" s="21"/>
      <c r="H6" s="1" t="s">
        <v>171</v>
      </c>
      <c r="I6" s="1" t="s">
        <v>114</v>
      </c>
      <c r="J6" s="8">
        <v>100</v>
      </c>
      <c r="K6" s="24" t="s">
        <v>5</v>
      </c>
      <c r="L6" s="1"/>
    </row>
  </sheetData>
  <dataValidations count="1">
    <dataValidation type="list" allowBlank="1" showInputMessage="1" showErrorMessage="1" sqref="B5:C6" xr:uid="{1157BC27-BC40-49CF-BC34-B60EF810AF4F}">
      <formula1>"Override,Overlay"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36817-D024-472C-AE61-D1404864B49A}">
  <dimension ref="A1:D9"/>
  <sheetViews>
    <sheetView workbookViewId="0">
      <selection activeCell="C20" sqref="C20"/>
    </sheetView>
  </sheetViews>
  <sheetFormatPr defaultRowHeight="14.5" x14ac:dyDescent="0.35"/>
  <cols>
    <col min="1" max="1" width="19.7265625" bestFit="1" customWidth="1"/>
    <col min="2" max="2" width="12.26953125" customWidth="1"/>
    <col min="3" max="3" width="14.7265625" bestFit="1" customWidth="1"/>
    <col min="4" max="4" width="19.1796875" bestFit="1" customWidth="1"/>
  </cols>
  <sheetData>
    <row r="1" spans="1:4" x14ac:dyDescent="0.35">
      <c r="A1" s="3" t="s">
        <v>0</v>
      </c>
      <c r="B1" s="4" t="s">
        <v>9</v>
      </c>
      <c r="C1" s="4" t="s">
        <v>10</v>
      </c>
      <c r="D1" s="4" t="s">
        <v>13</v>
      </c>
    </row>
    <row r="2" spans="1:4" ht="29" x14ac:dyDescent="0.35">
      <c r="A2" s="6" t="s">
        <v>11</v>
      </c>
      <c r="B2" s="4"/>
      <c r="C2" s="4"/>
      <c r="D2" s="7" t="s">
        <v>12</v>
      </c>
    </row>
    <row r="3" spans="1:4" x14ac:dyDescent="0.35">
      <c r="A3" s="3" t="s">
        <v>1</v>
      </c>
      <c r="B3" s="4" t="s">
        <v>2</v>
      </c>
      <c r="C3" s="4" t="s">
        <v>2</v>
      </c>
      <c r="D3" s="4" t="s">
        <v>14</v>
      </c>
    </row>
    <row r="4" spans="1:4" x14ac:dyDescent="0.35">
      <c r="A4" s="3" t="s">
        <v>3</v>
      </c>
      <c r="B4" s="4" t="s">
        <v>4</v>
      </c>
      <c r="C4" s="4" t="s">
        <v>5</v>
      </c>
      <c r="D4" s="4" t="s">
        <v>4</v>
      </c>
    </row>
    <row r="5" spans="1:4" x14ac:dyDescent="0.35">
      <c r="A5" s="2">
        <f>ROW()-4</f>
        <v>1</v>
      </c>
      <c r="B5" s="1" t="s">
        <v>17</v>
      </c>
      <c r="C5" s="5">
        <v>0.1</v>
      </c>
      <c r="D5" s="1"/>
    </row>
    <row r="6" spans="1:4" x14ac:dyDescent="0.35">
      <c r="A6" s="2">
        <f t="shared" ref="A6:A9" si="0">ROW()-4</f>
        <v>2</v>
      </c>
      <c r="B6" s="1" t="s">
        <v>18</v>
      </c>
      <c r="C6" s="5">
        <v>0.55000000000000004</v>
      </c>
      <c r="D6" s="1"/>
    </row>
    <row r="7" spans="1:4" x14ac:dyDescent="0.35">
      <c r="A7" s="2">
        <f t="shared" si="0"/>
        <v>3</v>
      </c>
      <c r="B7" s="1" t="s">
        <v>16</v>
      </c>
      <c r="C7" s="5">
        <v>0.1</v>
      </c>
      <c r="D7" s="1"/>
    </row>
    <row r="8" spans="1:4" x14ac:dyDescent="0.35">
      <c r="A8" s="2">
        <f t="shared" si="0"/>
        <v>4</v>
      </c>
      <c r="B8" s="1" t="s">
        <v>15</v>
      </c>
      <c r="C8" s="5">
        <v>0.15</v>
      </c>
      <c r="D8" s="1"/>
    </row>
    <row r="9" spans="1:4" x14ac:dyDescent="0.35">
      <c r="A9" s="2">
        <f t="shared" si="0"/>
        <v>5</v>
      </c>
      <c r="B9" s="1" t="s">
        <v>19</v>
      </c>
      <c r="C9" s="5">
        <v>0.1</v>
      </c>
      <c r="D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BB7625D6AFDC4EA3FCBBE21CA10BDA" ma:contentTypeVersion="17" ma:contentTypeDescription="Create a new document." ma:contentTypeScope="" ma:versionID="e72bf881c47b484774f8e4b64b504a65">
  <xsd:schema xmlns:xsd="http://www.w3.org/2001/XMLSchema" xmlns:xs="http://www.w3.org/2001/XMLSchema" xmlns:p="http://schemas.microsoft.com/office/2006/metadata/properties" xmlns:ns2="45f59826-8bf9-4bbd-8ca6-8cd2f3dfb2a3" xmlns:ns3="1b2ac6ee-3af4-4f4c-875a-990de610a4c1" xmlns:ns4="50c908b1-f277-4340-90a9-4611d0b0f078" targetNamespace="http://schemas.microsoft.com/office/2006/metadata/properties" ma:root="true" ma:fieldsID="2107ba5f96023b806209fa7599f1b51a" ns2:_="" ns3:_="" ns4:_="">
    <xsd:import namespace="45f59826-8bf9-4bbd-8ca6-8cd2f3dfb2a3"/>
    <xsd:import namespace="1b2ac6ee-3af4-4f4c-875a-990de610a4c1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59826-8bf9-4bbd-8ca6-8cd2f3dfb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ac6ee-3af4-4f4c-875a-990de610a4c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fe29196-6a8b-46a8-ab26-cbd77b8e0420}" ma:internalName="TaxCatchAll" ma:showField="CatchAllData" ma:web="1b2ac6ee-3af4-4f4c-875a-990de610a4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c908b1-f277-4340-90a9-4611d0b0f078" xsi:nil="true"/>
    <lcf76f155ced4ddcb4097134ff3c332f xmlns="45f59826-8bf9-4bbd-8ca6-8cd2f3dfb2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938FCF-8E04-41D8-B0BE-2658DC7757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59826-8bf9-4bbd-8ca6-8cd2f3dfb2a3"/>
    <ds:schemaRef ds:uri="1b2ac6ee-3af4-4f4c-875a-990de610a4c1"/>
    <ds:schemaRef ds:uri="50c908b1-f277-4340-90a9-4611d0b0f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57EA60-2F19-4D45-A8B6-652A98A5BC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C5B5D5-21BC-40C9-87D7-00A14318D46C}">
  <ds:schemaRefs>
    <ds:schemaRef ds:uri="http://purl.org/dc/terms/"/>
    <ds:schemaRef ds:uri="50c908b1-f277-4340-90a9-4611d0b0f078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45f59826-8bf9-4bbd-8ca6-8cd2f3dfb2a3"/>
    <ds:schemaRef ds:uri="1b2ac6ee-3af4-4f4c-875a-990de610a4c1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pre_run_deal_append_param</vt:lpstr>
      <vt:lpstr>mid_run_adj_param</vt:lpstr>
      <vt:lpstr>mid_run_adj_param_test</vt:lpstr>
      <vt:lpstr>post_run_stage3_param</vt:lpstr>
      <vt:lpstr>post_run_output_adj_param</vt:lpstr>
      <vt:lpstr>post_run_output_adj_param_test</vt:lpstr>
      <vt:lpstr>scenario_weight_param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Coco Fan</dc:creator>
  <cp:keywords/>
  <dc:description/>
  <cp:lastModifiedBy>Sophia SC Zhang</cp:lastModifiedBy>
  <cp:revision/>
  <dcterms:created xsi:type="dcterms:W3CDTF">2025-04-03T06:36:43Z</dcterms:created>
  <dcterms:modified xsi:type="dcterms:W3CDTF">2025-11-24T09:48:19Z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0x0101009BBB7625D6AFDC4EA3FCBBE21CA10BDA</vt:lpwstr>
  </property>
  <property fmtid="{D5CDD505-2E9C-101B-9397-08002B2CF9AE}" pid="3" name="MediaServiceImageTags">
    <vt:lpwstr/>
  </property>
</Properties>
</file>